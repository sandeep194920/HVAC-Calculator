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Kumaraswamy\Desktop\"/>
    </mc:Choice>
  </mc:AlternateContent>
  <xr:revisionPtr revIDLastSave="0" documentId="13_ncr:1_{30569496-167F-4877-B3B2-B642000A2EED}" xr6:coauthVersionLast="47" xr6:coauthVersionMax="47" xr10:uidLastSave="{00000000-0000-0000-0000-000000000000}"/>
  <bookViews>
    <workbookView xWindow="-96" yWindow="-96" windowWidth="23232" windowHeight="13872" activeTab="1" xr2:uid="{D1AFA51B-9C7B-4559-9FA6-7A1F077D81EF}"/>
  </bookViews>
  <sheets>
    <sheet name="Source Data" sheetId="7" r:id="rId1"/>
    <sheet name="Equivalent Lengt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1" l="1"/>
  <c r="H28" i="1"/>
  <c r="F15" i="1"/>
  <c r="E15" i="1"/>
  <c r="G28" i="1"/>
  <c r="F97" i="1"/>
  <c r="E97" i="1"/>
  <c r="F112" i="1"/>
  <c r="D112" i="1"/>
  <c r="E112" i="1"/>
  <c r="G128" i="1"/>
  <c r="D128" i="1"/>
  <c r="G144" i="1"/>
  <c r="F144" i="1"/>
  <c r="E144" i="1"/>
  <c r="C144" i="1"/>
  <c r="F128" i="1"/>
  <c r="E128" i="1"/>
  <c r="C128" i="1"/>
  <c r="F28" i="1"/>
  <c r="D81" i="1"/>
  <c r="D67" i="1"/>
  <c r="D97" i="1"/>
  <c r="D53" i="1"/>
  <c r="C53" i="1"/>
  <c r="C145" i="1" l="1"/>
  <c r="C129" i="1"/>
  <c r="D113" i="1"/>
  <c r="D115" i="1" s="1"/>
  <c r="D98" i="1"/>
  <c r="D100" i="1" s="1"/>
  <c r="D99" i="1" l="1"/>
  <c r="D114" i="1"/>
  <c r="D15" i="1" l="1"/>
  <c r="E53" i="1"/>
  <c r="C28" i="1"/>
  <c r="C29" i="1" s="1"/>
  <c r="C15" i="1"/>
  <c r="E81" i="1"/>
  <c r="C81" i="1"/>
  <c r="E67" i="1"/>
  <c r="C67" i="1"/>
  <c r="C41" i="1"/>
  <c r="C16" i="1" l="1"/>
  <c r="C18" i="1" s="1"/>
  <c r="C54" i="1"/>
  <c r="C56" i="1" s="1"/>
  <c r="C68" i="1"/>
  <c r="C70" i="1" s="1"/>
  <c r="C82" i="1"/>
  <c r="C83" i="1" s="1"/>
  <c r="C42" i="1"/>
  <c r="C43" i="1" s="1"/>
  <c r="C55" i="1" l="1"/>
  <c r="C17" i="1"/>
  <c r="C69" i="1"/>
  <c r="C84" i="1"/>
  <c r="C44" i="1"/>
  <c r="C5" i="1" l="1"/>
  <c r="C31" i="1" l="1"/>
  <c r="C30" i="1" l="1"/>
  <c r="C146" i="1" l="1"/>
  <c r="C147" i="1"/>
  <c r="C130" i="1"/>
  <c r="C131" i="1"/>
</calcChain>
</file>

<file path=xl/sharedStrings.xml><?xml version="1.0" encoding="utf-8"?>
<sst xmlns="http://schemas.openxmlformats.org/spreadsheetml/2006/main" count="372" uniqueCount="146">
  <si>
    <t>1-3/8"</t>
  </si>
  <si>
    <t>Quantity</t>
  </si>
  <si>
    <t>Total Pipe Length</t>
  </si>
  <si>
    <t>Pipe 1</t>
  </si>
  <si>
    <t>Pipe 2</t>
  </si>
  <si>
    <t>Pipe 3</t>
  </si>
  <si>
    <t>Pipe 4</t>
  </si>
  <si>
    <t>Pipe 5</t>
  </si>
  <si>
    <t>Pipe 6</t>
  </si>
  <si>
    <t>Pipe 7</t>
  </si>
  <si>
    <t>Pipe 8</t>
  </si>
  <si>
    <t>Pipe 9</t>
  </si>
  <si>
    <t>Pipe 10</t>
  </si>
  <si>
    <t>Pipe 11</t>
  </si>
  <si>
    <t>Pipe Length calculator</t>
  </si>
  <si>
    <t>Elbow 1</t>
  </si>
  <si>
    <t>Elbow 2</t>
  </si>
  <si>
    <t>3/4</t>
  </si>
  <si>
    <t>Branch</t>
  </si>
  <si>
    <t>Tee</t>
  </si>
  <si>
    <t>HGBV Line 1</t>
  </si>
  <si>
    <t>HGBV Line 2</t>
  </si>
  <si>
    <t>Nominal Diameter</t>
  </si>
  <si>
    <t>90° Std</t>
  </si>
  <si>
    <t>90° Long Radius</t>
  </si>
  <si>
    <t>90° Street</t>
  </si>
  <si>
    <t>45° Std</t>
  </si>
  <si>
    <t>45° Street</t>
  </si>
  <si>
    <t>180° Std</t>
  </si>
  <si>
    <t>Tee Branch Flow</t>
  </si>
  <si>
    <t>Tee Straight (No Red.)</t>
  </si>
  <si>
    <t>Tee Straight (25% Red.)</t>
  </si>
  <si>
    <t>Tee Straight (50% Red.)</t>
  </si>
  <si>
    <t>—</t>
  </si>
  <si>
    <t>Enlarging 1/4</t>
  </si>
  <si>
    <t>Enlarging 1/2</t>
  </si>
  <si>
    <t>Enlarging 3/4</t>
  </si>
  <si>
    <t>Reducing 1/4</t>
  </si>
  <si>
    <t>Reducing 1/2</t>
  </si>
  <si>
    <t>Reducing 3/4</t>
  </si>
  <si>
    <t>1/2</t>
  </si>
  <si>
    <t>5/8</t>
  </si>
  <si>
    <t>7/8</t>
  </si>
  <si>
    <t>1-1/8</t>
  </si>
  <si>
    <t>1-3/8</t>
  </si>
  <si>
    <t>1-5/8</t>
  </si>
  <si>
    <t>2-1/8</t>
  </si>
  <si>
    <t>2-5/8</t>
  </si>
  <si>
    <t>3-1/8</t>
  </si>
  <si>
    <t>3-5/8</t>
  </si>
  <si>
    <t>4-1/8</t>
  </si>
  <si>
    <t>5-1/8</t>
  </si>
  <si>
    <t>6-1/8</t>
  </si>
  <si>
    <t>8-1/8</t>
  </si>
  <si>
    <t>Fittings and Couplings (Feet)</t>
  </si>
  <si>
    <t>Globe / Solenoid</t>
  </si>
  <si>
    <t>Angle Valve</t>
  </si>
  <si>
    <t>Gate Valve</t>
  </si>
  <si>
    <t>Swing Check</t>
  </si>
  <si>
    <t>Sight Glass</t>
  </si>
  <si>
    <t>Filter-Drier</t>
  </si>
  <si>
    <t>Suction Filter</t>
  </si>
  <si>
    <t>Valves &amp; Refrigeration Devices (Feet)</t>
  </si>
  <si>
    <t>Coupling</t>
  </si>
  <si>
    <t>Enlarging</t>
  </si>
  <si>
    <t>Reducing</t>
  </si>
  <si>
    <t>Tee Straight</t>
  </si>
  <si>
    <t>Tee Branch</t>
  </si>
  <si>
    <t>90° Elbow</t>
  </si>
  <si>
    <t>Elbow</t>
  </si>
  <si>
    <t>180° Elbow</t>
  </si>
  <si>
    <t>45° Elbow</t>
  </si>
  <si>
    <t>Equivalent Length of Pipe Fittings, Valve and Refrigeration Devices</t>
  </si>
  <si>
    <t>Total Equivalent Length of line (in)</t>
  </si>
  <si>
    <t>Total Equivalent Length of line (ft)</t>
  </si>
  <si>
    <t>Total Equivalent Length of line (m)</t>
  </si>
  <si>
    <t>90 Deg LR</t>
  </si>
  <si>
    <t xml:space="preserve"> Size</t>
  </si>
  <si>
    <t>Line Type</t>
  </si>
  <si>
    <t>Equivalent Length of the Fitting</t>
  </si>
  <si>
    <t>Type of Fitting</t>
  </si>
  <si>
    <t xml:space="preserve">Total Equivalent Length of the Fitting </t>
  </si>
  <si>
    <t>Suction Line 1 - Compressor 1</t>
  </si>
  <si>
    <t>Discharge Line 2 - Compressor 2</t>
  </si>
  <si>
    <t>EXV Nominal ODF Size</t>
  </si>
  <si>
    <t>Approx. Equivalent Length</t>
  </si>
  <si>
    <t>HGB Valve Connection Size (ODF)</t>
  </si>
  <si>
    <t>¼" ODF</t>
  </si>
  <si>
    <t>6–8 ft</t>
  </si>
  <si>
    <t>8–15 ft</t>
  </si>
  <si>
    <t>5⁄16" ODF</t>
  </si>
  <si>
    <t>7–10 ft</t>
  </si>
  <si>
    <t>10–18 ft</t>
  </si>
  <si>
    <t>⅜" ODF</t>
  </si>
  <si>
    <t>8–12 ft</t>
  </si>
  <si>
    <t>12–20 ft</t>
  </si>
  <si>
    <t>½" ODF</t>
  </si>
  <si>
    <t>10–15 ft</t>
  </si>
  <si>
    <t>15–25 ft</t>
  </si>
  <si>
    <t>⅝" ODF</t>
  </si>
  <si>
    <t>18–30 ft</t>
  </si>
  <si>
    <t>¾" ODF</t>
  </si>
  <si>
    <t>15–22 ft</t>
  </si>
  <si>
    <t>20–35 ft</t>
  </si>
  <si>
    <t>⅞" ODF</t>
  </si>
  <si>
    <t>18–26 ft</t>
  </si>
  <si>
    <t>25–40 ft</t>
  </si>
  <si>
    <t>1⅛" ODF</t>
  </si>
  <si>
    <t>20–30 ft</t>
  </si>
  <si>
    <t>30–50 ft</t>
  </si>
  <si>
    <t>1⅜" ODF</t>
  </si>
  <si>
    <t>25–35 ft</t>
  </si>
  <si>
    <t>35–55 ft</t>
  </si>
  <si>
    <t>1⅝" ODF</t>
  </si>
  <si>
    <t>30–40 ft</t>
  </si>
  <si>
    <t>40–65 ft  </t>
  </si>
  <si>
    <t>Equivalent Length of EXV and Hot Gas Bypass Valve</t>
  </si>
  <si>
    <t>Reducer</t>
  </si>
  <si>
    <t>FTC X C</t>
  </si>
  <si>
    <t>1-3/8 X 1-5/8</t>
  </si>
  <si>
    <t>Suction Lines- Compressor 1 &amp; Compressor 2</t>
  </si>
  <si>
    <t>Suction Line 2 - Compressor 2</t>
  </si>
  <si>
    <t>90 Deg LR FXC</t>
  </si>
  <si>
    <t>Discharge Lines- Compressor 1 &amp; Compressor 2</t>
  </si>
  <si>
    <t>Elbow 1 FTC X C</t>
  </si>
  <si>
    <t>Discharge Line 1 - Compressor 1 (1-1/8)</t>
  </si>
  <si>
    <t>Elbow 2 cxc</t>
  </si>
  <si>
    <t>Liquid Line 1- Compressor 1</t>
  </si>
  <si>
    <t>Elbow 3 (FXC)</t>
  </si>
  <si>
    <t>Elbow 2(CXC)</t>
  </si>
  <si>
    <t>Ref Valve</t>
  </si>
  <si>
    <t>Filter Drier</t>
  </si>
  <si>
    <t>Elbow 1(FXC)</t>
  </si>
  <si>
    <t>Elbow 2( CXC)</t>
  </si>
  <si>
    <t>Liquid Line 2( A&amp;B)- Compressor 2</t>
  </si>
  <si>
    <t>1 1/8 X 7/8</t>
  </si>
  <si>
    <t>1-1/8 X5/8</t>
  </si>
  <si>
    <t>HGBV</t>
  </si>
  <si>
    <t>Elbow 1( FXC)</t>
  </si>
  <si>
    <t>Elbow 1 (F X C)</t>
  </si>
  <si>
    <t xml:space="preserve">90 Deg LR </t>
  </si>
  <si>
    <t>Ball valve</t>
  </si>
  <si>
    <t>1-1/8 X 5/8</t>
  </si>
  <si>
    <t>Tee 1( cxcxc)</t>
  </si>
  <si>
    <t xml:space="preserve"> 90 Deg LR</t>
  </si>
  <si>
    <t>Elbow 1(FTCXC)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</si>
</sst>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Aptos"/>
      <family val="2"/>
    </font>
    <font>
      <b/>
      <sz val="14"/>
      <color theme="1"/>
      <name val="Aptos"/>
      <family val="2"/>
    </font>
    <font>
      <sz val="12"/>
      <color rgb="FF7030A0"/>
      <name val="Aptos"/>
      <family val="2"/>
    </font>
    <font>
      <b/>
      <sz val="16"/>
      <color theme="1"/>
      <name val="Aptos"/>
      <family val="2"/>
    </font>
    <font>
      <sz val="1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/>
    <xf numFmtId="0" fontId="4" fillId="0" borderId="0" xfId="0" applyFont="1"/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4" fillId="6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14" fontId="2" fillId="0" borderId="0" xfId="0" applyNumberFormat="1" applyFont="1"/>
    <xf numFmtId="16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4" fillId="12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99059</xdr:colOff>
      <xdr:row>90</xdr:row>
      <xdr:rowOff>12035</xdr:rowOff>
    </xdr:from>
    <xdr:to>
      <xdr:col>1</xdr:col>
      <xdr:colOff>2346006</xdr:colOff>
      <xdr:row>98</xdr:row>
      <xdr:rowOff>170881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945B0C-F807-6D1D-923E-6D3C20640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25" y="17216566"/>
          <a:ext cx="2252662" cy="1778096"/>
        </a:xfrm>
        <a:prstGeom prst="rect">
          <a:avLst/>
        </a:prstGeom>
      </xdr:spPr>
    </xdr:pic>
    <xdr:clientData/>
  </xdr:twoCellAnchor>
  <xdr:twoCellAnchor editAs="oneCell">
    <xdr:from>
      <xdr:col>7</xdr:col>
      <xdr:colOff>130971</xdr:colOff>
      <xdr:row>120</xdr:row>
      <xdr:rowOff>79056</xdr:rowOff>
    </xdr:from>
    <xdr:to>
      <xdr:col>8</xdr:col>
      <xdr:colOff>1315542</xdr:colOff>
      <xdr:row>131</xdr:row>
      <xdr:rowOff>97630</xdr:rowOff>
    </xdr:to>
    <xdr:pic>
      <xdr:nvPicPr>
        <xdr:cNvPr id="5" name="Picture 4" descr="TOP LEFT ISOMETRIC VIEW&#10;">
          <a:extLst>
            <a:ext uri="{FF2B5EF4-FFF2-40B4-BE49-F238E27FC236}">
              <a16:creationId xmlns:a16="http://schemas.microsoft.com/office/drawing/2014/main" id="{57F23D25-4D60-3720-1A68-E125A007C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2799" y="23355775"/>
          <a:ext cx="2232797" cy="2254568"/>
        </a:xfrm>
        <a:prstGeom prst="rect">
          <a:avLst/>
        </a:prstGeom>
      </xdr:spPr>
    </xdr:pic>
    <xdr:clientData/>
  </xdr:twoCellAnchor>
  <xdr:twoCellAnchor editAs="oneCell">
    <xdr:from>
      <xdr:col>7</xdr:col>
      <xdr:colOff>410925</xdr:colOff>
      <xdr:row>73</xdr:row>
      <xdr:rowOff>23494</xdr:rowOff>
    </xdr:from>
    <xdr:to>
      <xdr:col>8</xdr:col>
      <xdr:colOff>1126331</xdr:colOff>
      <xdr:row>82</xdr:row>
      <xdr:rowOff>192642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AA23B5-2856-4D50-B1DC-76ACC1620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78725" y="13841094"/>
          <a:ext cx="1794906" cy="1997948"/>
        </a:xfrm>
        <a:prstGeom prst="rect">
          <a:avLst/>
        </a:prstGeom>
      </xdr:spPr>
    </xdr:pic>
    <xdr:clientData/>
  </xdr:twoCellAnchor>
  <xdr:twoCellAnchor editAs="oneCell">
    <xdr:from>
      <xdr:col>6</xdr:col>
      <xdr:colOff>409403</xdr:colOff>
      <xdr:row>34</xdr:row>
      <xdr:rowOff>67389</xdr:rowOff>
    </xdr:from>
    <xdr:to>
      <xdr:col>8</xdr:col>
      <xdr:colOff>19011</xdr:colOff>
      <xdr:row>43</xdr:row>
      <xdr:rowOff>92873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D4726B-8DBF-78FA-7BC2-ECA854D1E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73481" y="5937170"/>
          <a:ext cx="1717014" cy="1847141"/>
        </a:xfrm>
        <a:prstGeom prst="rect">
          <a:avLst/>
        </a:prstGeom>
      </xdr:spPr>
    </xdr:pic>
    <xdr:clientData/>
  </xdr:twoCellAnchor>
  <xdr:twoCellAnchor editAs="oneCell">
    <xdr:from>
      <xdr:col>8</xdr:col>
      <xdr:colOff>202354</xdr:colOff>
      <xdr:row>135</xdr:row>
      <xdr:rowOff>7857</xdr:rowOff>
    </xdr:from>
    <xdr:to>
      <xdr:col>10</xdr:col>
      <xdr:colOff>439378</xdr:colOff>
      <xdr:row>147</xdr:row>
      <xdr:rowOff>92013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13E9FAF-7E91-1F53-93AB-3DCF0D6B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73838" y="26320670"/>
          <a:ext cx="2271326" cy="2520651"/>
        </a:xfrm>
        <a:prstGeom prst="rect">
          <a:avLst/>
        </a:prstGeom>
      </xdr:spPr>
    </xdr:pic>
    <xdr:clientData/>
  </xdr:twoCellAnchor>
  <xdr:twoCellAnchor editAs="oneCell">
    <xdr:from>
      <xdr:col>1</xdr:col>
      <xdr:colOff>25958</xdr:colOff>
      <xdr:row>105</xdr:row>
      <xdr:rowOff>153987</xdr:rowOff>
    </xdr:from>
    <xdr:to>
      <xdr:col>1</xdr:col>
      <xdr:colOff>2456736</xdr:colOff>
      <xdr:row>113</xdr:row>
      <xdr:rowOff>111682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C6E0E2-57F1-A860-20E0-0E1CD179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7224" y="20394612"/>
          <a:ext cx="2430778" cy="1576945"/>
        </a:xfrm>
        <a:prstGeom prst="rect">
          <a:avLst/>
        </a:prstGeom>
      </xdr:spPr>
    </xdr:pic>
    <xdr:clientData/>
  </xdr:twoCellAnchor>
  <xdr:twoCellAnchor editAs="oneCell">
    <xdr:from>
      <xdr:col>7</xdr:col>
      <xdr:colOff>303212</xdr:colOff>
      <xdr:row>57</xdr:row>
      <xdr:rowOff>123626</xdr:rowOff>
    </xdr:from>
    <xdr:to>
      <xdr:col>8</xdr:col>
      <xdr:colOff>1431419</xdr:colOff>
      <xdr:row>70</xdr:row>
      <xdr:rowOff>19765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9865C80-D1D6-F8DC-623F-C2972345D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71012" y="10690026"/>
          <a:ext cx="2207707" cy="2537739"/>
        </a:xfrm>
        <a:prstGeom prst="rect">
          <a:avLst/>
        </a:prstGeom>
      </xdr:spPr>
    </xdr:pic>
    <xdr:clientData/>
  </xdr:twoCellAnchor>
  <xdr:twoCellAnchor editAs="oneCell">
    <xdr:from>
      <xdr:col>9</xdr:col>
      <xdr:colOff>100839</xdr:colOff>
      <xdr:row>18</xdr:row>
      <xdr:rowOff>176926</xdr:rowOff>
    </xdr:from>
    <xdr:to>
      <xdr:col>12</xdr:col>
      <xdr:colOff>98702</xdr:colOff>
      <xdr:row>33</xdr:row>
      <xdr:rowOff>19826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2BD0D80-772E-248E-924B-441F2E76F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12980" y="2808207"/>
          <a:ext cx="2192185" cy="2863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8A16-84E9-47CD-BDF3-19E72D144637}">
  <dimension ref="A2:AE23"/>
  <sheetViews>
    <sheetView zoomScaleNormal="100" workbookViewId="0">
      <selection activeCell="A2" sqref="A2:Y2"/>
    </sheetView>
  </sheetViews>
  <sheetFormatPr defaultColWidth="8.81640625" defaultRowHeight="16" x14ac:dyDescent="0.4"/>
  <cols>
    <col min="1" max="1" width="16" style="8" bestFit="1" customWidth="1"/>
    <col min="2" max="2" width="6.81640625" style="8" bestFit="1" customWidth="1"/>
    <col min="3" max="3" width="7.81640625" style="8" bestFit="1" customWidth="1"/>
    <col min="4" max="4" width="8.81640625" style="8" bestFit="1" customWidth="1"/>
    <col min="5" max="5" width="6.453125" style="8" customWidth="1"/>
    <col min="6" max="6" width="8.81640625" style="8" bestFit="1" customWidth="1"/>
    <col min="7" max="7" width="11.81640625" style="8" bestFit="1" customWidth="1"/>
    <col min="8" max="8" width="13" style="8" bestFit="1" customWidth="1"/>
    <col min="9" max="9" width="10.54296875" style="8" bestFit="1" customWidth="1"/>
    <col min="10" max="10" width="12" style="8" customWidth="1"/>
    <col min="11" max="11" width="13.1796875" style="8" customWidth="1"/>
    <col min="12" max="17" width="11.81640625" style="8" bestFit="1" customWidth="1"/>
    <col min="18" max="18" width="11.81640625" style="8" customWidth="1"/>
    <col min="19" max="19" width="14.81640625" style="8" bestFit="1" customWidth="1"/>
    <col min="20" max="20" width="10.453125" style="8" bestFit="1" customWidth="1"/>
    <col min="21" max="21" width="9.54296875" style="8" bestFit="1" customWidth="1"/>
    <col min="22" max="22" width="11.54296875" style="8" bestFit="1" customWidth="1"/>
    <col min="23" max="23" width="10.1796875" style="8" bestFit="1" customWidth="1"/>
    <col min="24" max="24" width="9.81640625" style="8" bestFit="1" customWidth="1"/>
    <col min="25" max="25" width="12" style="8" bestFit="1" customWidth="1"/>
    <col min="26" max="27" width="8.81640625" style="8"/>
    <col min="28" max="28" width="23.81640625" style="8" bestFit="1" customWidth="1"/>
    <col min="29" max="29" width="27.453125" style="8" bestFit="1" customWidth="1"/>
    <col min="30" max="30" width="35.1796875" style="8" bestFit="1" customWidth="1"/>
    <col min="31" max="31" width="27.453125" style="8" bestFit="1" customWidth="1"/>
    <col min="32" max="16384" width="8.81640625" style="8"/>
  </cols>
  <sheetData>
    <row r="2" spans="1:31" ht="21" x14ac:dyDescent="0.5">
      <c r="A2" s="38" t="s">
        <v>72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31" ht="18.5" x14ac:dyDescent="0.45">
      <c r="A3" s="39" t="s">
        <v>22</v>
      </c>
      <c r="B3" s="45" t="s">
        <v>54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65" t="s">
        <v>62</v>
      </c>
      <c r="S3" s="66"/>
      <c r="T3" s="66"/>
      <c r="U3" s="66"/>
      <c r="V3" s="66"/>
      <c r="W3" s="66"/>
      <c r="X3" s="66"/>
      <c r="Y3" s="67"/>
    </row>
    <row r="4" spans="1:31" x14ac:dyDescent="0.4">
      <c r="A4" s="40"/>
      <c r="B4" s="68" t="s">
        <v>69</v>
      </c>
      <c r="C4" s="69"/>
      <c r="D4" s="69"/>
      <c r="E4" s="69"/>
      <c r="F4" s="69"/>
      <c r="G4" s="70"/>
      <c r="H4" s="46" t="s">
        <v>19</v>
      </c>
      <c r="I4" s="47"/>
      <c r="J4" s="47"/>
      <c r="K4" s="48"/>
      <c r="L4" s="49" t="s">
        <v>63</v>
      </c>
      <c r="M4" s="50"/>
      <c r="N4" s="50"/>
      <c r="O4" s="50"/>
      <c r="P4" s="50"/>
      <c r="Q4" s="51"/>
      <c r="R4" s="42" t="s">
        <v>141</v>
      </c>
      <c r="S4" s="42" t="s">
        <v>55</v>
      </c>
      <c r="T4" s="42" t="s">
        <v>56</v>
      </c>
      <c r="U4" s="42" t="s">
        <v>57</v>
      </c>
      <c r="V4" s="42" t="s">
        <v>58</v>
      </c>
      <c r="W4" s="42" t="s">
        <v>59</v>
      </c>
      <c r="X4" s="42" t="s">
        <v>60</v>
      </c>
      <c r="Y4" s="42" t="s">
        <v>61</v>
      </c>
    </row>
    <row r="5" spans="1:31" x14ac:dyDescent="0.4">
      <c r="A5" s="40"/>
      <c r="B5" s="60" t="s">
        <v>68</v>
      </c>
      <c r="C5" s="61"/>
      <c r="D5" s="62"/>
      <c r="E5" s="63" t="s">
        <v>71</v>
      </c>
      <c r="F5" s="64"/>
      <c r="G5" s="31" t="s">
        <v>70</v>
      </c>
      <c r="H5" s="26" t="s">
        <v>67</v>
      </c>
      <c r="I5" s="58" t="s">
        <v>66</v>
      </c>
      <c r="J5" s="58"/>
      <c r="K5" s="59"/>
      <c r="L5" s="52" t="s">
        <v>64</v>
      </c>
      <c r="M5" s="53"/>
      <c r="N5" s="54"/>
      <c r="O5" s="55" t="s">
        <v>65</v>
      </c>
      <c r="P5" s="56"/>
      <c r="Q5" s="57"/>
      <c r="R5" s="43"/>
      <c r="S5" s="43"/>
      <c r="T5" s="43"/>
      <c r="U5" s="43"/>
      <c r="V5" s="43"/>
      <c r="W5" s="43"/>
      <c r="X5" s="43"/>
      <c r="Y5" s="43"/>
      <c r="AB5" s="71" t="s">
        <v>116</v>
      </c>
      <c r="AC5" s="71"/>
      <c r="AD5" s="71"/>
      <c r="AE5" s="71"/>
    </row>
    <row r="6" spans="1:31" s="10" customFormat="1" ht="48" x14ac:dyDescent="0.35">
      <c r="A6" s="41"/>
      <c r="B6" s="22" t="s">
        <v>23</v>
      </c>
      <c r="C6" s="22" t="s">
        <v>24</v>
      </c>
      <c r="D6" s="22" t="s">
        <v>25</v>
      </c>
      <c r="E6" s="24" t="s">
        <v>26</v>
      </c>
      <c r="F6" s="24" t="s">
        <v>27</v>
      </c>
      <c r="G6" s="22" t="s">
        <v>28</v>
      </c>
      <c r="H6" s="27" t="s">
        <v>29</v>
      </c>
      <c r="I6" s="29" t="s">
        <v>30</v>
      </c>
      <c r="J6" s="29" t="s">
        <v>31</v>
      </c>
      <c r="K6" s="29" t="s">
        <v>32</v>
      </c>
      <c r="L6" s="32" t="s">
        <v>34</v>
      </c>
      <c r="M6" s="32" t="s">
        <v>35</v>
      </c>
      <c r="N6" s="32" t="s">
        <v>36</v>
      </c>
      <c r="O6" s="34" t="s">
        <v>37</v>
      </c>
      <c r="P6" s="34" t="s">
        <v>38</v>
      </c>
      <c r="Q6" s="34" t="s">
        <v>39</v>
      </c>
      <c r="R6" s="44"/>
      <c r="S6" s="44"/>
      <c r="T6" s="44"/>
      <c r="U6" s="44"/>
      <c r="V6" s="44"/>
      <c r="W6" s="44"/>
      <c r="X6" s="44"/>
      <c r="Y6" s="44"/>
      <c r="AB6" s="5" t="s">
        <v>84</v>
      </c>
      <c r="AC6" s="5" t="s">
        <v>85</v>
      </c>
      <c r="AD6" s="21" t="s">
        <v>86</v>
      </c>
      <c r="AE6" s="21" t="s">
        <v>85</v>
      </c>
    </row>
    <row r="7" spans="1:31" x14ac:dyDescent="0.4">
      <c r="A7" s="6" t="s">
        <v>40</v>
      </c>
      <c r="B7" s="23">
        <v>1.4</v>
      </c>
      <c r="C7" s="23">
        <v>0.9</v>
      </c>
      <c r="D7" s="23">
        <v>2.2999999999999998</v>
      </c>
      <c r="E7" s="25">
        <v>0.7</v>
      </c>
      <c r="F7" s="25">
        <v>1.1000000000000001</v>
      </c>
      <c r="G7" s="23">
        <v>2.2999999999999998</v>
      </c>
      <c r="H7" s="28">
        <v>2.7</v>
      </c>
      <c r="I7" s="30">
        <v>0.9</v>
      </c>
      <c r="J7" s="30">
        <v>1.2</v>
      </c>
      <c r="K7" s="30">
        <v>1.4</v>
      </c>
      <c r="L7" s="33">
        <v>1.4</v>
      </c>
      <c r="M7" s="33">
        <v>0.8</v>
      </c>
      <c r="N7" s="33">
        <v>0.3</v>
      </c>
      <c r="O7" s="35">
        <v>0.7</v>
      </c>
      <c r="P7" s="35">
        <v>0.5</v>
      </c>
      <c r="Q7" s="35">
        <v>0.3</v>
      </c>
      <c r="R7" s="7">
        <v>1.1000000000000001</v>
      </c>
      <c r="S7" s="7">
        <v>17</v>
      </c>
      <c r="T7" s="7">
        <v>6</v>
      </c>
      <c r="U7" s="7">
        <v>0.6</v>
      </c>
      <c r="V7" s="7">
        <v>5</v>
      </c>
      <c r="W7" s="7">
        <v>1</v>
      </c>
      <c r="X7" s="7">
        <v>12</v>
      </c>
      <c r="Y7" s="7">
        <v>15</v>
      </c>
      <c r="AB7" s="5" t="s">
        <v>87</v>
      </c>
      <c r="AC7" s="5" t="s">
        <v>88</v>
      </c>
      <c r="AD7" s="21" t="s">
        <v>87</v>
      </c>
      <c r="AE7" s="21" t="s">
        <v>89</v>
      </c>
    </row>
    <row r="8" spans="1:31" x14ac:dyDescent="0.4">
      <c r="A8" s="6" t="s">
        <v>41</v>
      </c>
      <c r="B8" s="23">
        <v>1.6</v>
      </c>
      <c r="C8" s="23">
        <v>1</v>
      </c>
      <c r="D8" s="23">
        <v>2.5</v>
      </c>
      <c r="E8" s="25">
        <v>0.8</v>
      </c>
      <c r="F8" s="25">
        <v>1.3</v>
      </c>
      <c r="G8" s="23">
        <v>2.5</v>
      </c>
      <c r="H8" s="28">
        <v>3</v>
      </c>
      <c r="I8" s="30">
        <v>1</v>
      </c>
      <c r="J8" s="30">
        <v>1.4</v>
      </c>
      <c r="K8" s="30">
        <v>1.6</v>
      </c>
      <c r="L8" s="33">
        <v>1.8</v>
      </c>
      <c r="M8" s="33">
        <v>1.1000000000000001</v>
      </c>
      <c r="N8" s="33">
        <v>0.4</v>
      </c>
      <c r="O8" s="35">
        <v>0.9</v>
      </c>
      <c r="P8" s="35">
        <v>0.7</v>
      </c>
      <c r="Q8" s="35">
        <v>0.4</v>
      </c>
      <c r="R8" s="7">
        <v>0.9</v>
      </c>
      <c r="S8" s="7">
        <v>18</v>
      </c>
      <c r="T8" s="7">
        <v>7</v>
      </c>
      <c r="U8" s="7">
        <v>0.7</v>
      </c>
      <c r="V8" s="7">
        <v>6</v>
      </c>
      <c r="W8" s="7">
        <v>1.2</v>
      </c>
      <c r="X8" s="7">
        <v>15</v>
      </c>
      <c r="Y8" s="7">
        <v>17</v>
      </c>
      <c r="AB8" s="5" t="s">
        <v>90</v>
      </c>
      <c r="AC8" s="5" t="s">
        <v>91</v>
      </c>
      <c r="AD8" s="21" t="s">
        <v>90</v>
      </c>
      <c r="AE8" s="21" t="s">
        <v>92</v>
      </c>
    </row>
    <row r="9" spans="1:31" x14ac:dyDescent="0.4">
      <c r="A9" s="6" t="s">
        <v>17</v>
      </c>
      <c r="B9" s="23">
        <v>1.9</v>
      </c>
      <c r="C9" s="23">
        <v>1.3</v>
      </c>
      <c r="D9" s="23" t="s">
        <v>33</v>
      </c>
      <c r="E9" s="25">
        <v>0.6</v>
      </c>
      <c r="F9" s="25" t="s">
        <v>33</v>
      </c>
      <c r="G9" s="23" t="s">
        <v>33</v>
      </c>
      <c r="H9" s="28">
        <v>3</v>
      </c>
      <c r="I9" s="30">
        <v>1.4</v>
      </c>
      <c r="J9" s="30">
        <v>1.9</v>
      </c>
      <c r="K9" s="30">
        <v>2</v>
      </c>
      <c r="L9" s="33">
        <v>2.5</v>
      </c>
      <c r="M9" s="33">
        <v>1.5</v>
      </c>
      <c r="N9" s="33">
        <v>0.5</v>
      </c>
      <c r="O9" s="35">
        <v>1.2</v>
      </c>
      <c r="P9" s="35">
        <v>1</v>
      </c>
      <c r="Q9" s="35">
        <v>0.5</v>
      </c>
      <c r="R9" s="7">
        <v>0.9</v>
      </c>
      <c r="S9" s="7">
        <v>14</v>
      </c>
      <c r="T9" s="7">
        <v>7</v>
      </c>
      <c r="U9" s="7" t="s">
        <v>33</v>
      </c>
      <c r="V9" s="7">
        <v>7</v>
      </c>
      <c r="W9" s="7">
        <v>0.9</v>
      </c>
      <c r="X9" s="7" t="s">
        <v>33</v>
      </c>
      <c r="Y9" s="7" t="s">
        <v>33</v>
      </c>
      <c r="AB9" s="5" t="s">
        <v>93</v>
      </c>
      <c r="AC9" s="5" t="s">
        <v>94</v>
      </c>
      <c r="AD9" s="21" t="s">
        <v>93</v>
      </c>
      <c r="AE9" s="21" t="s">
        <v>95</v>
      </c>
    </row>
    <row r="10" spans="1:31" x14ac:dyDescent="0.4">
      <c r="A10" s="6" t="s">
        <v>42</v>
      </c>
      <c r="B10" s="23">
        <v>2.2999999999999998</v>
      </c>
      <c r="C10" s="23">
        <v>1.5</v>
      </c>
      <c r="D10" s="23">
        <v>3.2</v>
      </c>
      <c r="E10" s="25">
        <v>0.9</v>
      </c>
      <c r="F10" s="25">
        <v>1.6</v>
      </c>
      <c r="G10" s="23">
        <v>3.2</v>
      </c>
      <c r="H10" s="28">
        <v>4</v>
      </c>
      <c r="I10" s="30">
        <v>1.7</v>
      </c>
      <c r="J10" s="30">
        <v>2.2000000000000002</v>
      </c>
      <c r="K10" s="30">
        <v>2.6</v>
      </c>
      <c r="L10" s="33">
        <v>3.2</v>
      </c>
      <c r="M10" s="33">
        <v>2</v>
      </c>
      <c r="N10" s="33">
        <v>0.7</v>
      </c>
      <c r="O10" s="35">
        <v>1.6</v>
      </c>
      <c r="P10" s="35">
        <v>1.2</v>
      </c>
      <c r="Q10" s="35">
        <v>0.7</v>
      </c>
      <c r="R10" s="7">
        <v>0.9</v>
      </c>
      <c r="S10" s="7">
        <v>22</v>
      </c>
      <c r="T10" s="7">
        <v>9</v>
      </c>
      <c r="U10" s="7">
        <v>0.9</v>
      </c>
      <c r="V10" s="7">
        <v>8</v>
      </c>
      <c r="W10" s="7">
        <v>1.6</v>
      </c>
      <c r="X10" s="7">
        <v>21</v>
      </c>
      <c r="Y10" s="7">
        <v>22</v>
      </c>
      <c r="AB10" s="5" t="s">
        <v>96</v>
      </c>
      <c r="AC10" s="5" t="s">
        <v>97</v>
      </c>
      <c r="AD10" s="21" t="s">
        <v>96</v>
      </c>
      <c r="AE10" s="21" t="s">
        <v>98</v>
      </c>
    </row>
    <row r="11" spans="1:31" x14ac:dyDescent="0.4">
      <c r="A11" s="6" t="s">
        <v>43</v>
      </c>
      <c r="B11" s="23">
        <v>2.7</v>
      </c>
      <c r="C11" s="23">
        <v>1.8</v>
      </c>
      <c r="D11" s="23">
        <v>4.0999999999999996</v>
      </c>
      <c r="E11" s="25">
        <v>1.3</v>
      </c>
      <c r="F11" s="25">
        <v>2.1</v>
      </c>
      <c r="G11" s="23">
        <v>4.0999999999999996</v>
      </c>
      <c r="H11" s="28">
        <v>5</v>
      </c>
      <c r="I11" s="30">
        <v>2.2999999999999998</v>
      </c>
      <c r="J11" s="30">
        <v>3.1</v>
      </c>
      <c r="K11" s="30">
        <v>3.3</v>
      </c>
      <c r="L11" s="33">
        <v>4.7</v>
      </c>
      <c r="M11" s="33">
        <v>3</v>
      </c>
      <c r="N11" s="33">
        <v>1</v>
      </c>
      <c r="O11" s="35">
        <v>2.2999999999999998</v>
      </c>
      <c r="P11" s="35">
        <v>1.8</v>
      </c>
      <c r="Q11" s="35">
        <v>1</v>
      </c>
      <c r="R11" s="7">
        <v>0.9</v>
      </c>
      <c r="S11" s="7">
        <v>29</v>
      </c>
      <c r="T11" s="7">
        <v>12</v>
      </c>
      <c r="U11" s="7">
        <v>1</v>
      </c>
      <c r="V11" s="7">
        <v>12</v>
      </c>
      <c r="W11" s="7">
        <v>2</v>
      </c>
      <c r="X11" s="7">
        <v>26</v>
      </c>
      <c r="Y11" s="7">
        <v>25</v>
      </c>
      <c r="AB11" s="5" t="s">
        <v>99</v>
      </c>
      <c r="AC11" s="5" t="s">
        <v>95</v>
      </c>
      <c r="AD11" s="21" t="s">
        <v>99</v>
      </c>
      <c r="AE11" s="21" t="s">
        <v>100</v>
      </c>
    </row>
    <row r="12" spans="1:31" x14ac:dyDescent="0.4">
      <c r="A12" s="6" t="s">
        <v>44</v>
      </c>
      <c r="B12" s="23">
        <v>3.6</v>
      </c>
      <c r="C12" s="23">
        <v>2.4</v>
      </c>
      <c r="D12" s="23">
        <v>5.6</v>
      </c>
      <c r="E12" s="25">
        <v>1.7</v>
      </c>
      <c r="F12" s="25">
        <v>3</v>
      </c>
      <c r="G12" s="23">
        <v>5.6</v>
      </c>
      <c r="H12" s="28">
        <v>7</v>
      </c>
      <c r="I12" s="30">
        <v>2.6</v>
      </c>
      <c r="J12" s="30">
        <v>3.7</v>
      </c>
      <c r="K12" s="30">
        <v>4</v>
      </c>
      <c r="L12" s="33">
        <v>5.8</v>
      </c>
      <c r="M12" s="33">
        <v>3.6</v>
      </c>
      <c r="N12" s="33">
        <v>1.2</v>
      </c>
      <c r="O12" s="35">
        <v>2.9</v>
      </c>
      <c r="P12" s="35">
        <v>2.2000000000000002</v>
      </c>
      <c r="Q12" s="35">
        <v>1.2</v>
      </c>
      <c r="R12" s="7">
        <v>1</v>
      </c>
      <c r="S12" s="7">
        <v>38</v>
      </c>
      <c r="T12" s="7">
        <v>15</v>
      </c>
      <c r="U12" s="7">
        <v>1.5</v>
      </c>
      <c r="V12" s="7">
        <v>15</v>
      </c>
      <c r="W12" s="7">
        <v>2.5</v>
      </c>
      <c r="X12" s="7">
        <v>35</v>
      </c>
      <c r="Y12" s="7">
        <v>36</v>
      </c>
      <c r="AB12" s="5" t="s">
        <v>101</v>
      </c>
      <c r="AC12" s="5" t="s">
        <v>102</v>
      </c>
      <c r="AD12" s="21" t="s">
        <v>101</v>
      </c>
      <c r="AE12" s="21" t="s">
        <v>103</v>
      </c>
    </row>
    <row r="13" spans="1:31" x14ac:dyDescent="0.4">
      <c r="A13" s="6" t="s">
        <v>45</v>
      </c>
      <c r="B13" s="23">
        <v>4.2</v>
      </c>
      <c r="C13" s="23">
        <v>2.8</v>
      </c>
      <c r="D13" s="23">
        <v>6.3</v>
      </c>
      <c r="E13" s="25">
        <v>2.1</v>
      </c>
      <c r="F13" s="25">
        <v>3.4</v>
      </c>
      <c r="G13" s="23">
        <v>6.3</v>
      </c>
      <c r="H13" s="28">
        <v>8</v>
      </c>
      <c r="I13" s="30">
        <v>3.3</v>
      </c>
      <c r="J13" s="30">
        <v>4.7</v>
      </c>
      <c r="K13" s="30">
        <v>5</v>
      </c>
      <c r="L13" s="33">
        <v>8</v>
      </c>
      <c r="M13" s="33">
        <v>4.8</v>
      </c>
      <c r="N13" s="33">
        <v>1.6</v>
      </c>
      <c r="O13" s="35">
        <v>4</v>
      </c>
      <c r="P13" s="35">
        <v>3</v>
      </c>
      <c r="Q13" s="35">
        <v>1.6</v>
      </c>
      <c r="R13" s="7">
        <v>1.1000000000000001</v>
      </c>
      <c r="S13" s="7">
        <v>43</v>
      </c>
      <c r="T13" s="7">
        <v>18</v>
      </c>
      <c r="U13" s="7">
        <v>1.8</v>
      </c>
      <c r="V13" s="7">
        <v>17</v>
      </c>
      <c r="W13" s="7">
        <v>2.6</v>
      </c>
      <c r="X13" s="7" t="s">
        <v>33</v>
      </c>
      <c r="Y13" s="7">
        <v>40</v>
      </c>
      <c r="AB13" s="5" t="s">
        <v>104</v>
      </c>
      <c r="AC13" s="5" t="s">
        <v>105</v>
      </c>
      <c r="AD13" s="21" t="s">
        <v>104</v>
      </c>
      <c r="AE13" s="21" t="s">
        <v>106</v>
      </c>
    </row>
    <row r="14" spans="1:31" x14ac:dyDescent="0.4">
      <c r="A14" s="6" t="s">
        <v>46</v>
      </c>
      <c r="B14" s="23">
        <v>5.9</v>
      </c>
      <c r="C14" s="23">
        <v>3.9</v>
      </c>
      <c r="D14" s="23">
        <v>8.1999999999999993</v>
      </c>
      <c r="E14" s="25">
        <v>2.6</v>
      </c>
      <c r="F14" s="25">
        <v>4.5</v>
      </c>
      <c r="G14" s="23">
        <v>8.1999999999999993</v>
      </c>
      <c r="H14" s="28">
        <v>10</v>
      </c>
      <c r="I14" s="30">
        <v>4.0999999999999996</v>
      </c>
      <c r="J14" s="30">
        <v>5.6</v>
      </c>
      <c r="K14" s="30">
        <v>6</v>
      </c>
      <c r="L14" s="33">
        <v>10</v>
      </c>
      <c r="M14" s="33">
        <v>6.1</v>
      </c>
      <c r="N14" s="33">
        <v>2</v>
      </c>
      <c r="O14" s="35">
        <v>5</v>
      </c>
      <c r="P14" s="35">
        <v>3.8</v>
      </c>
      <c r="Q14" s="35">
        <v>2</v>
      </c>
      <c r="R14" s="7">
        <v>1.2</v>
      </c>
      <c r="S14" s="7">
        <v>55</v>
      </c>
      <c r="T14" s="7">
        <v>24</v>
      </c>
      <c r="U14" s="7">
        <v>2.2999999999999998</v>
      </c>
      <c r="V14" s="7">
        <v>22</v>
      </c>
      <c r="W14" s="7">
        <v>3</v>
      </c>
      <c r="X14" s="7" t="s">
        <v>33</v>
      </c>
      <c r="Y14" s="7" t="s">
        <v>33</v>
      </c>
      <c r="AB14" s="5" t="s">
        <v>107</v>
      </c>
      <c r="AC14" s="5" t="s">
        <v>108</v>
      </c>
      <c r="AD14" s="21" t="s">
        <v>107</v>
      </c>
      <c r="AE14" s="21" t="s">
        <v>109</v>
      </c>
    </row>
    <row r="15" spans="1:31" x14ac:dyDescent="0.4">
      <c r="A15" s="6" t="s">
        <v>47</v>
      </c>
      <c r="B15" s="23">
        <v>6.9</v>
      </c>
      <c r="C15" s="23">
        <v>4.5999999999999996</v>
      </c>
      <c r="D15" s="23">
        <v>10</v>
      </c>
      <c r="E15" s="25">
        <v>3.2</v>
      </c>
      <c r="F15" s="25">
        <v>5.2</v>
      </c>
      <c r="G15" s="23">
        <v>10</v>
      </c>
      <c r="H15" s="28">
        <v>12</v>
      </c>
      <c r="I15" s="30">
        <v>5</v>
      </c>
      <c r="J15" s="30">
        <v>7</v>
      </c>
      <c r="K15" s="30">
        <v>7.5</v>
      </c>
      <c r="L15" s="33">
        <v>13</v>
      </c>
      <c r="M15" s="33">
        <v>8</v>
      </c>
      <c r="N15" s="33">
        <v>2.6</v>
      </c>
      <c r="O15" s="35">
        <v>6.5</v>
      </c>
      <c r="P15" s="35">
        <v>4.9000000000000004</v>
      </c>
      <c r="Q15" s="35">
        <v>2.6</v>
      </c>
      <c r="R15" s="7">
        <v>1.8</v>
      </c>
      <c r="S15" s="7">
        <v>69</v>
      </c>
      <c r="T15" s="7">
        <v>29</v>
      </c>
      <c r="U15" s="7">
        <v>2.8</v>
      </c>
      <c r="V15" s="7">
        <v>26</v>
      </c>
      <c r="W15" s="7">
        <v>3.5</v>
      </c>
      <c r="X15" s="7" t="s">
        <v>33</v>
      </c>
      <c r="Y15" s="7" t="s">
        <v>33</v>
      </c>
      <c r="AB15" s="5" t="s">
        <v>110</v>
      </c>
      <c r="AC15" s="5" t="s">
        <v>111</v>
      </c>
      <c r="AD15" s="21" t="s">
        <v>110</v>
      </c>
      <c r="AE15" s="21" t="s">
        <v>112</v>
      </c>
    </row>
    <row r="16" spans="1:31" x14ac:dyDescent="0.4">
      <c r="A16" s="6" t="s">
        <v>48</v>
      </c>
      <c r="B16" s="23">
        <v>7.7</v>
      </c>
      <c r="C16" s="23">
        <v>5.5</v>
      </c>
      <c r="D16" s="23">
        <v>12</v>
      </c>
      <c r="E16" s="25">
        <v>4</v>
      </c>
      <c r="F16" s="25">
        <v>6.4</v>
      </c>
      <c r="G16" s="23">
        <v>12</v>
      </c>
      <c r="H16" s="28">
        <v>15</v>
      </c>
      <c r="I16" s="30">
        <v>5.9</v>
      </c>
      <c r="J16" s="30">
        <v>8</v>
      </c>
      <c r="K16" s="30">
        <v>9</v>
      </c>
      <c r="L16" s="33">
        <v>15</v>
      </c>
      <c r="M16" s="33">
        <v>9.1999999999999993</v>
      </c>
      <c r="N16" s="33">
        <v>3</v>
      </c>
      <c r="O16" s="35">
        <v>7.7</v>
      </c>
      <c r="P16" s="35">
        <v>6</v>
      </c>
      <c r="Q16" s="35">
        <v>3</v>
      </c>
      <c r="R16" s="7">
        <v>2.5</v>
      </c>
      <c r="S16" s="7">
        <v>84</v>
      </c>
      <c r="T16" s="7">
        <v>35</v>
      </c>
      <c r="U16" s="7">
        <v>3.2</v>
      </c>
      <c r="V16" s="7">
        <v>34</v>
      </c>
      <c r="W16" s="7">
        <v>4.5</v>
      </c>
      <c r="X16" s="7" t="s">
        <v>33</v>
      </c>
      <c r="Y16" s="7" t="s">
        <v>33</v>
      </c>
      <c r="AB16" s="5" t="s">
        <v>113</v>
      </c>
      <c r="AC16" s="5" t="s">
        <v>114</v>
      </c>
      <c r="AD16" s="21" t="s">
        <v>113</v>
      </c>
      <c r="AE16" s="21" t="s">
        <v>115</v>
      </c>
    </row>
    <row r="17" spans="1:25" x14ac:dyDescent="0.4">
      <c r="A17" s="6" t="s">
        <v>49</v>
      </c>
      <c r="B17" s="23">
        <v>9.8000000000000007</v>
      </c>
      <c r="C17" s="23">
        <v>6.5</v>
      </c>
      <c r="D17" s="23">
        <v>15</v>
      </c>
      <c r="E17" s="25">
        <v>4.7</v>
      </c>
      <c r="F17" s="25">
        <v>7.3</v>
      </c>
      <c r="G17" s="23">
        <v>15</v>
      </c>
      <c r="H17" s="28">
        <v>18</v>
      </c>
      <c r="I17" s="30">
        <v>6.7</v>
      </c>
      <c r="J17" s="30">
        <v>9</v>
      </c>
      <c r="K17" s="30">
        <v>10</v>
      </c>
      <c r="L17" s="33">
        <v>17</v>
      </c>
      <c r="M17" s="33">
        <v>11</v>
      </c>
      <c r="N17" s="33">
        <v>3.8</v>
      </c>
      <c r="O17" s="35">
        <v>9</v>
      </c>
      <c r="P17" s="35">
        <v>6.8</v>
      </c>
      <c r="Q17" s="35">
        <v>3.8</v>
      </c>
      <c r="R17" s="7">
        <v>3.1</v>
      </c>
      <c r="S17" s="7">
        <v>100</v>
      </c>
      <c r="T17" s="7">
        <v>41</v>
      </c>
      <c r="U17" s="7">
        <v>4</v>
      </c>
      <c r="V17" s="7">
        <v>40</v>
      </c>
      <c r="W17" s="7">
        <v>5</v>
      </c>
      <c r="X17" s="7" t="s">
        <v>33</v>
      </c>
      <c r="Y17" s="7" t="s">
        <v>33</v>
      </c>
    </row>
    <row r="18" spans="1:25" x14ac:dyDescent="0.4">
      <c r="A18" s="6" t="s">
        <v>50</v>
      </c>
      <c r="B18" s="23">
        <v>10</v>
      </c>
      <c r="C18" s="23">
        <v>6.7</v>
      </c>
      <c r="D18" s="23">
        <v>17</v>
      </c>
      <c r="E18" s="25">
        <v>5.2</v>
      </c>
      <c r="F18" s="25">
        <v>8.5</v>
      </c>
      <c r="G18" s="23">
        <v>17</v>
      </c>
      <c r="H18" s="28">
        <v>21</v>
      </c>
      <c r="I18" s="30">
        <v>8.1999999999999993</v>
      </c>
      <c r="J18" s="30">
        <v>12</v>
      </c>
      <c r="K18" s="30">
        <v>13</v>
      </c>
      <c r="L18" s="33" t="s">
        <v>33</v>
      </c>
      <c r="M18" s="33" t="s">
        <v>33</v>
      </c>
      <c r="N18" s="33" t="s">
        <v>33</v>
      </c>
      <c r="O18" s="35" t="s">
        <v>33</v>
      </c>
      <c r="P18" s="35" t="s">
        <v>33</v>
      </c>
      <c r="Q18" s="35" t="s">
        <v>33</v>
      </c>
      <c r="R18" s="7">
        <v>3.8</v>
      </c>
      <c r="S18" s="7">
        <v>120</v>
      </c>
      <c r="T18" s="7">
        <v>47</v>
      </c>
      <c r="U18" s="7">
        <v>4.5</v>
      </c>
      <c r="V18" s="7">
        <v>40</v>
      </c>
      <c r="W18" s="7" t="s">
        <v>33</v>
      </c>
      <c r="X18" s="7" t="s">
        <v>33</v>
      </c>
      <c r="Y18" s="7" t="s">
        <v>33</v>
      </c>
    </row>
    <row r="19" spans="1:25" x14ac:dyDescent="0.4">
      <c r="A19" s="6" t="s">
        <v>51</v>
      </c>
      <c r="B19" s="23">
        <v>13</v>
      </c>
      <c r="C19" s="23">
        <v>8.1999999999999993</v>
      </c>
      <c r="D19" s="23">
        <v>21</v>
      </c>
      <c r="E19" s="25">
        <v>6.5</v>
      </c>
      <c r="F19" s="25">
        <v>11</v>
      </c>
      <c r="G19" s="23">
        <v>21</v>
      </c>
      <c r="H19" s="28">
        <v>25</v>
      </c>
      <c r="I19" s="30">
        <v>10</v>
      </c>
      <c r="J19" s="30">
        <v>14</v>
      </c>
      <c r="K19" s="30">
        <v>16</v>
      </c>
      <c r="L19" s="33" t="s">
        <v>33</v>
      </c>
      <c r="M19" s="33" t="s">
        <v>33</v>
      </c>
      <c r="N19" s="33" t="s">
        <v>33</v>
      </c>
      <c r="O19" s="35" t="s">
        <v>33</v>
      </c>
      <c r="P19" s="35" t="s">
        <v>33</v>
      </c>
      <c r="Q19" s="35" t="s">
        <v>33</v>
      </c>
      <c r="R19" s="7">
        <v>4.5</v>
      </c>
      <c r="S19" s="7">
        <v>140</v>
      </c>
      <c r="T19" s="7">
        <v>58</v>
      </c>
      <c r="U19" s="7">
        <v>6</v>
      </c>
      <c r="V19" s="7">
        <v>50</v>
      </c>
      <c r="W19" s="7" t="s">
        <v>33</v>
      </c>
      <c r="X19" s="7" t="s">
        <v>33</v>
      </c>
      <c r="Y19" s="7" t="s">
        <v>33</v>
      </c>
    </row>
    <row r="20" spans="1:25" x14ac:dyDescent="0.4">
      <c r="A20" s="6" t="s">
        <v>52</v>
      </c>
      <c r="B20" s="23">
        <v>16</v>
      </c>
      <c r="C20" s="23">
        <v>10</v>
      </c>
      <c r="D20" s="23">
        <v>25</v>
      </c>
      <c r="E20" s="25">
        <v>7.9</v>
      </c>
      <c r="F20" s="25">
        <v>13</v>
      </c>
      <c r="G20" s="23">
        <v>25</v>
      </c>
      <c r="H20" s="28">
        <v>30</v>
      </c>
      <c r="I20" s="30">
        <v>13</v>
      </c>
      <c r="J20" s="30">
        <v>18</v>
      </c>
      <c r="K20" s="30">
        <v>20</v>
      </c>
      <c r="L20" s="33" t="s">
        <v>33</v>
      </c>
      <c r="M20" s="33" t="s">
        <v>33</v>
      </c>
      <c r="N20" s="33" t="s">
        <v>33</v>
      </c>
      <c r="O20" s="35" t="s">
        <v>33</v>
      </c>
      <c r="P20" s="35" t="s">
        <v>33</v>
      </c>
      <c r="Q20" s="35" t="s">
        <v>33</v>
      </c>
      <c r="R20" s="7">
        <v>5.2</v>
      </c>
      <c r="S20" s="7">
        <v>170</v>
      </c>
      <c r="T20" s="7">
        <v>70</v>
      </c>
      <c r="U20" s="7">
        <v>7</v>
      </c>
      <c r="V20" s="7">
        <v>60</v>
      </c>
      <c r="W20" s="7" t="s">
        <v>33</v>
      </c>
      <c r="X20" s="7" t="s">
        <v>33</v>
      </c>
      <c r="Y20" s="7" t="s">
        <v>33</v>
      </c>
    </row>
    <row r="21" spans="1:25" x14ac:dyDescent="0.4">
      <c r="A21" s="6" t="s">
        <v>53</v>
      </c>
      <c r="B21" s="23">
        <v>20</v>
      </c>
      <c r="C21" s="23">
        <v>13</v>
      </c>
      <c r="D21" s="23" t="s">
        <v>33</v>
      </c>
      <c r="E21" s="25">
        <v>10</v>
      </c>
      <c r="F21" s="25" t="s">
        <v>33</v>
      </c>
      <c r="G21" s="23">
        <v>33</v>
      </c>
      <c r="H21" s="28">
        <v>40</v>
      </c>
      <c r="I21" s="30" t="s">
        <v>33</v>
      </c>
      <c r="J21" s="30" t="s">
        <v>33</v>
      </c>
      <c r="K21" s="30" t="s">
        <v>33</v>
      </c>
      <c r="L21" s="33" t="s">
        <v>33</v>
      </c>
      <c r="M21" s="33" t="s">
        <v>33</v>
      </c>
      <c r="N21" s="33" t="s">
        <v>33</v>
      </c>
      <c r="O21" s="35" t="s">
        <v>33</v>
      </c>
      <c r="P21" s="35" t="s">
        <v>33</v>
      </c>
      <c r="Q21" s="35" t="s">
        <v>33</v>
      </c>
      <c r="R21" s="7">
        <v>5.9</v>
      </c>
      <c r="S21" s="7">
        <v>220</v>
      </c>
      <c r="T21" s="7">
        <v>85</v>
      </c>
      <c r="U21" s="7">
        <v>9</v>
      </c>
      <c r="V21" s="7">
        <v>80</v>
      </c>
      <c r="W21" s="7" t="s">
        <v>33</v>
      </c>
      <c r="X21" s="7" t="s">
        <v>33</v>
      </c>
      <c r="Y21" s="7" t="s">
        <v>33</v>
      </c>
    </row>
    <row r="22" spans="1:25" x14ac:dyDescent="0.4">
      <c r="E22" s="9"/>
    </row>
    <row r="23" spans="1:25" x14ac:dyDescent="0.4">
      <c r="E23" s="9"/>
    </row>
  </sheetData>
  <mergeCells count="21">
    <mergeCell ref="B4:G4"/>
    <mergeCell ref="X4:X6"/>
    <mergeCell ref="Y4:Y6"/>
    <mergeCell ref="AB5:AE5"/>
    <mergeCell ref="R4:R6"/>
    <mergeCell ref="A2:Y2"/>
    <mergeCell ref="A3:A6"/>
    <mergeCell ref="S4:S6"/>
    <mergeCell ref="T4:T6"/>
    <mergeCell ref="U4:U6"/>
    <mergeCell ref="V4:V6"/>
    <mergeCell ref="W4:W6"/>
    <mergeCell ref="B3:Q3"/>
    <mergeCell ref="H4:K4"/>
    <mergeCell ref="L4:Q4"/>
    <mergeCell ref="L5:N5"/>
    <mergeCell ref="O5:Q5"/>
    <mergeCell ref="I5:K5"/>
    <mergeCell ref="B5:D5"/>
    <mergeCell ref="E5:F5"/>
    <mergeCell ref="R3:Y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5DE4-CEF4-4859-B3CD-A67FF456BAB4}">
  <dimension ref="A1:R147"/>
  <sheetViews>
    <sheetView tabSelected="1" topLeftCell="A6" zoomScaleNormal="100" workbookViewId="0">
      <selection activeCell="I26" sqref="I26"/>
    </sheetView>
  </sheetViews>
  <sheetFormatPr defaultColWidth="8.81640625" defaultRowHeight="16" x14ac:dyDescent="0.4"/>
  <cols>
    <col min="1" max="1" width="8.81640625" style="1"/>
    <col min="2" max="2" width="40.1796875" style="1" bestFit="1" customWidth="1"/>
    <col min="3" max="4" width="16.81640625" style="1" customWidth="1"/>
    <col min="5" max="5" width="17.1796875" style="1" customWidth="1"/>
    <col min="6" max="6" width="14.81640625" style="1" customWidth="1"/>
    <col min="7" max="7" width="15.1796875" style="1" customWidth="1"/>
    <col min="8" max="8" width="15.453125" style="1" customWidth="1"/>
    <col min="9" max="9" width="21" style="1" customWidth="1"/>
    <col min="10" max="10" width="8.81640625" style="1"/>
    <col min="11" max="11" width="11.81640625" style="1" customWidth="1"/>
    <col min="12" max="12" width="11.1796875" style="1" customWidth="1"/>
    <col min="13" max="13" width="11.81640625" style="1" customWidth="1"/>
    <col min="14" max="15" width="8.81640625" style="1"/>
    <col min="16" max="16" width="12.6328125" style="1" bestFit="1" customWidth="1"/>
    <col min="17" max="16384" width="8.81640625" style="1"/>
  </cols>
  <sheetData>
    <row r="1" spans="2:16" hidden="1" x14ac:dyDescent="0.4"/>
    <row r="2" spans="2:16" hidden="1" x14ac:dyDescent="0.4"/>
    <row r="3" spans="2:16" hidden="1" x14ac:dyDescent="0.4">
      <c r="B3" s="12"/>
      <c r="C3" s="2" t="s">
        <v>3</v>
      </c>
      <c r="D3" s="2"/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2:16" hidden="1" x14ac:dyDescent="0.4">
      <c r="B4" s="2" t="s">
        <v>14</v>
      </c>
      <c r="C4" s="12">
        <v>7.5</v>
      </c>
      <c r="D4" s="12"/>
      <c r="E4" s="12">
        <v>2.75</v>
      </c>
      <c r="F4" s="12">
        <v>5.375</v>
      </c>
      <c r="G4" s="12"/>
      <c r="H4" s="12"/>
      <c r="I4" s="12"/>
      <c r="J4" s="12"/>
      <c r="K4" s="12"/>
      <c r="L4" s="12"/>
      <c r="M4" s="12"/>
      <c r="N4" s="12"/>
      <c r="O4" s="13"/>
      <c r="P4" s="13"/>
    </row>
    <row r="5" spans="2:16" hidden="1" x14ac:dyDescent="0.4">
      <c r="B5" s="14" t="s">
        <v>2</v>
      </c>
      <c r="C5" s="1">
        <f>SUM(C4:P4)</f>
        <v>15.625</v>
      </c>
    </row>
    <row r="8" spans="2:16" x14ac:dyDescent="0.4">
      <c r="B8" s="2" t="s">
        <v>78</v>
      </c>
      <c r="C8" s="72" t="s">
        <v>120</v>
      </c>
      <c r="D8" s="72"/>
      <c r="E8" s="72"/>
      <c r="F8" s="72"/>
      <c r="G8" s="72"/>
    </row>
    <row r="9" spans="2:16" x14ac:dyDescent="0.4">
      <c r="B9" s="2" t="s">
        <v>2</v>
      </c>
      <c r="C9" s="15">
        <v>103</v>
      </c>
      <c r="D9" s="18"/>
    </row>
    <row r="10" spans="2:16" x14ac:dyDescent="0.4">
      <c r="B10" s="73" t="s">
        <v>80</v>
      </c>
      <c r="C10" s="4" t="s">
        <v>132</v>
      </c>
      <c r="D10" s="4" t="s">
        <v>129</v>
      </c>
      <c r="E10" s="4" t="s">
        <v>117</v>
      </c>
      <c r="F10" s="4" t="s">
        <v>130</v>
      </c>
    </row>
    <row r="11" spans="2:16" x14ac:dyDescent="0.4">
      <c r="B11" s="74"/>
      <c r="C11" s="11" t="s">
        <v>76</v>
      </c>
      <c r="D11" s="11" t="s">
        <v>140</v>
      </c>
      <c r="E11" s="11" t="s">
        <v>118</v>
      </c>
      <c r="F11" s="3"/>
    </row>
    <row r="12" spans="2:16" x14ac:dyDescent="0.4">
      <c r="B12" s="2" t="s">
        <v>77</v>
      </c>
      <c r="C12" s="3" t="s">
        <v>44</v>
      </c>
      <c r="D12" s="3" t="s">
        <v>44</v>
      </c>
      <c r="E12" s="11" t="s">
        <v>119</v>
      </c>
      <c r="F12" s="3" t="s">
        <v>44</v>
      </c>
    </row>
    <row r="13" spans="2:16" x14ac:dyDescent="0.4">
      <c r="B13" s="2" t="s">
        <v>79</v>
      </c>
      <c r="C13" s="3">
        <v>28.8</v>
      </c>
      <c r="D13" s="3">
        <v>28.8</v>
      </c>
      <c r="E13" s="11">
        <v>34.799999999999997</v>
      </c>
      <c r="F13" s="3">
        <v>12</v>
      </c>
    </row>
    <row r="14" spans="2:16" x14ac:dyDescent="0.4">
      <c r="B14" s="2" t="s">
        <v>1</v>
      </c>
      <c r="C14" s="3">
        <v>4</v>
      </c>
      <c r="D14" s="3">
        <v>5</v>
      </c>
      <c r="E14" s="11">
        <v>1</v>
      </c>
      <c r="F14" s="3">
        <v>1</v>
      </c>
    </row>
    <row r="15" spans="2:16" x14ac:dyDescent="0.4">
      <c r="B15" s="2" t="s">
        <v>81</v>
      </c>
      <c r="C15" s="3">
        <f t="shared" ref="C15:D15" si="0">C14*C13</f>
        <v>115.2</v>
      </c>
      <c r="D15" s="3">
        <f t="shared" si="0"/>
        <v>144</v>
      </c>
      <c r="E15" s="3">
        <f>E13*E14</f>
        <v>34.799999999999997</v>
      </c>
      <c r="F15" s="3">
        <f>F14*F13</f>
        <v>12</v>
      </c>
    </row>
    <row r="16" spans="2:16" x14ac:dyDescent="0.4">
      <c r="B16" s="2" t="s">
        <v>73</v>
      </c>
      <c r="C16" s="79">
        <f>SUM(C15:F15)+C9</f>
        <v>409</v>
      </c>
      <c r="D16" s="80"/>
      <c r="E16" s="80"/>
      <c r="F16" s="81"/>
    </row>
    <row r="17" spans="2:18" x14ac:dyDescent="0.4">
      <c r="B17" s="20" t="s">
        <v>74</v>
      </c>
      <c r="C17" s="63">
        <f>CONVERT(C16,"in","ft")</f>
        <v>34.083333333333336</v>
      </c>
      <c r="D17" s="78"/>
      <c r="E17" s="78"/>
      <c r="F17" s="64"/>
    </row>
    <row r="18" spans="2:18" x14ac:dyDescent="0.4">
      <c r="B18" s="2" t="s">
        <v>75</v>
      </c>
      <c r="C18" s="82">
        <f>CONVERT(C16,"in","m")</f>
        <v>10.3886</v>
      </c>
      <c r="D18" s="83"/>
      <c r="E18" s="83"/>
      <c r="F18" s="84"/>
    </row>
    <row r="21" spans="2:18" x14ac:dyDescent="0.4">
      <c r="B21" s="2" t="s">
        <v>78</v>
      </c>
      <c r="C21" s="79" t="s">
        <v>82</v>
      </c>
      <c r="D21" s="80"/>
      <c r="E21" s="80"/>
      <c r="F21" s="80"/>
      <c r="G21" s="80"/>
      <c r="H21" s="81"/>
    </row>
    <row r="22" spans="2:18" x14ac:dyDescent="0.4">
      <c r="B22" s="2" t="s">
        <v>2</v>
      </c>
      <c r="C22" s="82">
        <v>45</v>
      </c>
      <c r="D22" s="83"/>
      <c r="E22" s="83"/>
      <c r="F22" s="83"/>
      <c r="G22" s="83"/>
      <c r="H22" s="84"/>
    </row>
    <row r="23" spans="2:18" x14ac:dyDescent="0.4">
      <c r="B23" s="73" t="s">
        <v>80</v>
      </c>
      <c r="C23" s="72" t="s">
        <v>145</v>
      </c>
      <c r="D23" s="72"/>
      <c r="E23" s="72"/>
      <c r="F23" s="4" t="s">
        <v>129</v>
      </c>
      <c r="G23" s="4" t="s">
        <v>117</v>
      </c>
      <c r="H23" s="4" t="s">
        <v>130</v>
      </c>
    </row>
    <row r="24" spans="2:18" x14ac:dyDescent="0.4">
      <c r="B24" s="74"/>
      <c r="C24" s="85" t="s">
        <v>144</v>
      </c>
      <c r="D24" s="85"/>
      <c r="E24" s="85"/>
      <c r="F24" s="11" t="s">
        <v>76</v>
      </c>
      <c r="G24" s="11" t="s">
        <v>118</v>
      </c>
      <c r="H24" s="3"/>
    </row>
    <row r="25" spans="2:18" x14ac:dyDescent="0.4">
      <c r="B25" s="2" t="s">
        <v>77</v>
      </c>
      <c r="C25" s="75" t="s">
        <v>44</v>
      </c>
      <c r="D25" s="76"/>
      <c r="E25" s="77"/>
      <c r="F25" s="3" t="s">
        <v>44</v>
      </c>
      <c r="G25" s="3" t="s">
        <v>119</v>
      </c>
      <c r="H25" s="3" t="s">
        <v>44</v>
      </c>
    </row>
    <row r="26" spans="2:18" x14ac:dyDescent="0.4">
      <c r="B26" s="2" t="s">
        <v>79</v>
      </c>
      <c r="C26" s="86">
        <v>28.8</v>
      </c>
      <c r="D26" s="87"/>
      <c r="E26" s="88"/>
      <c r="F26" s="3">
        <v>28.8</v>
      </c>
      <c r="G26" s="3">
        <v>34.799999999999997</v>
      </c>
      <c r="H26" s="3">
        <v>12</v>
      </c>
    </row>
    <row r="27" spans="2:18" x14ac:dyDescent="0.4">
      <c r="B27" s="2" t="s">
        <v>1</v>
      </c>
      <c r="C27" s="86">
        <v>4</v>
      </c>
      <c r="D27" s="87"/>
      <c r="E27" s="88"/>
      <c r="F27" s="3">
        <v>1</v>
      </c>
      <c r="G27" s="3">
        <v>1</v>
      </c>
      <c r="H27" s="3">
        <v>1</v>
      </c>
    </row>
    <row r="28" spans="2:18" x14ac:dyDescent="0.4">
      <c r="B28" s="2" t="s">
        <v>81</v>
      </c>
      <c r="C28" s="85">
        <f>C27*C26</f>
        <v>115.2</v>
      </c>
      <c r="D28" s="85"/>
      <c r="E28" s="85"/>
      <c r="F28" s="3">
        <f t="shared" ref="F28" si="1">F27*F26</f>
        <v>28.8</v>
      </c>
      <c r="G28" s="3">
        <f>G26*G27</f>
        <v>34.799999999999997</v>
      </c>
      <c r="H28" s="3">
        <f>H27*H26</f>
        <v>12</v>
      </c>
    </row>
    <row r="29" spans="2:18" x14ac:dyDescent="0.4">
      <c r="B29" s="2" t="s">
        <v>73</v>
      </c>
      <c r="C29" s="79">
        <f>SUM(C28:H28)+C22</f>
        <v>235.8</v>
      </c>
      <c r="D29" s="80"/>
      <c r="E29" s="80"/>
      <c r="F29" s="80"/>
      <c r="G29" s="80"/>
      <c r="H29" s="81"/>
    </row>
    <row r="30" spans="2:18" x14ac:dyDescent="0.4">
      <c r="B30" s="20" t="s">
        <v>74</v>
      </c>
      <c r="C30" s="63">
        <f>CONVERT(C29,"in","ft")</f>
        <v>19.649999999999999</v>
      </c>
      <c r="D30" s="78"/>
      <c r="E30" s="78"/>
      <c r="F30" s="78"/>
      <c r="G30" s="78"/>
      <c r="H30" s="64"/>
      <c r="P30" s="36">
        <v>46089</v>
      </c>
      <c r="Q30" s="1">
        <v>15</v>
      </c>
      <c r="R30" s="1">
        <v>4</v>
      </c>
    </row>
    <row r="31" spans="2:18" x14ac:dyDescent="0.4">
      <c r="B31" s="2" t="s">
        <v>75</v>
      </c>
      <c r="C31" s="82">
        <f>CONVERT(C29,"in","m")</f>
        <v>5.9893200000000002</v>
      </c>
      <c r="D31" s="83"/>
      <c r="E31" s="83"/>
      <c r="F31" s="83"/>
      <c r="G31" s="83"/>
      <c r="H31" s="84"/>
    </row>
    <row r="34" spans="2:8" x14ac:dyDescent="0.4">
      <c r="B34" s="2" t="s">
        <v>78</v>
      </c>
      <c r="C34" s="79" t="s">
        <v>121</v>
      </c>
      <c r="D34" s="80"/>
      <c r="E34" s="80"/>
      <c r="F34" s="81"/>
    </row>
    <row r="35" spans="2:8" x14ac:dyDescent="0.4">
      <c r="B35" s="2" t="s">
        <v>2</v>
      </c>
      <c r="C35" s="89">
        <v>58</v>
      </c>
      <c r="D35" s="89"/>
      <c r="E35" s="89"/>
      <c r="F35" s="3"/>
    </row>
    <row r="36" spans="2:8" x14ac:dyDescent="0.4">
      <c r="B36" s="73" t="s">
        <v>80</v>
      </c>
      <c r="C36" s="72" t="s">
        <v>133</v>
      </c>
      <c r="D36" s="72"/>
      <c r="E36" s="72"/>
      <c r="F36" s="4" t="s">
        <v>130</v>
      </c>
      <c r="H36" s="8"/>
    </row>
    <row r="37" spans="2:8" x14ac:dyDescent="0.4">
      <c r="B37" s="74"/>
      <c r="C37" s="89" t="s">
        <v>76</v>
      </c>
      <c r="D37" s="89"/>
      <c r="E37" s="89"/>
      <c r="F37" s="3"/>
    </row>
    <row r="38" spans="2:8" x14ac:dyDescent="0.4">
      <c r="B38" s="2" t="s">
        <v>77</v>
      </c>
      <c r="C38" s="89" t="s">
        <v>0</v>
      </c>
      <c r="D38" s="89"/>
      <c r="E38" s="89"/>
      <c r="F38" s="3" t="s">
        <v>44</v>
      </c>
    </row>
    <row r="39" spans="2:8" x14ac:dyDescent="0.4">
      <c r="B39" s="2" t="s">
        <v>79</v>
      </c>
      <c r="C39" s="89">
        <v>28.8</v>
      </c>
      <c r="D39" s="89"/>
      <c r="E39" s="89"/>
      <c r="F39" s="3">
        <v>10.8</v>
      </c>
    </row>
    <row r="40" spans="2:8" x14ac:dyDescent="0.4">
      <c r="B40" s="2" t="s">
        <v>1</v>
      </c>
      <c r="C40" s="89">
        <v>4</v>
      </c>
      <c r="D40" s="89"/>
      <c r="E40" s="89"/>
      <c r="F40" s="3">
        <v>1</v>
      </c>
    </row>
    <row r="41" spans="2:8" x14ac:dyDescent="0.4">
      <c r="B41" s="2" t="s">
        <v>81</v>
      </c>
      <c r="C41" s="89">
        <f>C40*C39</f>
        <v>115.2</v>
      </c>
      <c r="D41" s="89"/>
      <c r="E41" s="89"/>
      <c r="F41" s="3">
        <f>F40*F39</f>
        <v>10.8</v>
      </c>
    </row>
    <row r="42" spans="2:8" x14ac:dyDescent="0.4">
      <c r="B42" s="2" t="s">
        <v>73</v>
      </c>
      <c r="C42" s="79">
        <f>SUM(C41:F41)+C35</f>
        <v>184</v>
      </c>
      <c r="D42" s="80"/>
      <c r="E42" s="80"/>
      <c r="F42" s="81"/>
    </row>
    <row r="43" spans="2:8" x14ac:dyDescent="0.4">
      <c r="B43" s="20" t="s">
        <v>74</v>
      </c>
      <c r="C43" s="63">
        <f>CONVERT(C42,"in","ft")</f>
        <v>15.333333333333334</v>
      </c>
      <c r="D43" s="78"/>
      <c r="E43" s="78"/>
      <c r="F43" s="64"/>
    </row>
    <row r="44" spans="2:8" x14ac:dyDescent="0.4">
      <c r="B44" s="2" t="s">
        <v>75</v>
      </c>
      <c r="C44" s="82">
        <f>CONVERT(C42,"in","m")</f>
        <v>4.6736000000000004</v>
      </c>
      <c r="D44" s="83"/>
      <c r="E44" s="83"/>
      <c r="F44" s="84"/>
    </row>
    <row r="46" spans="2:8" x14ac:dyDescent="0.4">
      <c r="B46" s="2" t="s">
        <v>78</v>
      </c>
      <c r="C46" s="72" t="s">
        <v>123</v>
      </c>
      <c r="D46" s="72"/>
      <c r="E46" s="72"/>
      <c r="F46" s="72"/>
      <c r="G46" s="72"/>
      <c r="H46" s="72"/>
    </row>
    <row r="47" spans="2:8" x14ac:dyDescent="0.4">
      <c r="B47" s="2" t="s">
        <v>2</v>
      </c>
      <c r="C47" s="19">
        <v>80</v>
      </c>
      <c r="D47" s="18"/>
    </row>
    <row r="48" spans="2:8" x14ac:dyDescent="0.4">
      <c r="B48" s="73" t="s">
        <v>80</v>
      </c>
      <c r="C48" s="4" t="s">
        <v>124</v>
      </c>
      <c r="D48" s="4" t="s">
        <v>126</v>
      </c>
      <c r="E48" s="4" t="s">
        <v>143</v>
      </c>
    </row>
    <row r="49" spans="2:7" x14ac:dyDescent="0.4">
      <c r="B49" s="74"/>
      <c r="C49" s="11" t="s">
        <v>76</v>
      </c>
      <c r="D49" s="11" t="s">
        <v>76</v>
      </c>
      <c r="E49" s="11" t="s">
        <v>18</v>
      </c>
    </row>
    <row r="50" spans="2:7" x14ac:dyDescent="0.4">
      <c r="B50" s="2" t="s">
        <v>77</v>
      </c>
      <c r="C50" s="3" t="s">
        <v>43</v>
      </c>
      <c r="D50" s="3" t="s">
        <v>43</v>
      </c>
      <c r="E50" s="3" t="s">
        <v>43</v>
      </c>
    </row>
    <row r="51" spans="2:7" x14ac:dyDescent="0.4">
      <c r="B51" s="2" t="s">
        <v>79</v>
      </c>
      <c r="C51" s="3">
        <v>21.6</v>
      </c>
      <c r="D51" s="3">
        <v>21.6</v>
      </c>
      <c r="E51" s="3">
        <v>27.6</v>
      </c>
    </row>
    <row r="52" spans="2:7" x14ac:dyDescent="0.4">
      <c r="B52" s="2" t="s">
        <v>1</v>
      </c>
      <c r="C52" s="3">
        <v>4</v>
      </c>
      <c r="D52" s="3">
        <v>4</v>
      </c>
      <c r="E52" s="3">
        <v>2</v>
      </c>
    </row>
    <row r="53" spans="2:7" x14ac:dyDescent="0.4">
      <c r="B53" s="2" t="s">
        <v>81</v>
      </c>
      <c r="C53" s="3">
        <f>C52*C51</f>
        <v>86.4</v>
      </c>
      <c r="D53" s="3">
        <f>D52*D51</f>
        <v>86.4</v>
      </c>
      <c r="E53" s="3">
        <f>E52*E51</f>
        <v>55.2</v>
      </c>
    </row>
    <row r="54" spans="2:7" x14ac:dyDescent="0.4">
      <c r="B54" s="2" t="s">
        <v>73</v>
      </c>
      <c r="C54" s="72">
        <f>SUM(C53:H53)+C47</f>
        <v>308</v>
      </c>
      <c r="D54" s="72"/>
      <c r="E54" s="72"/>
    </row>
    <row r="55" spans="2:7" x14ac:dyDescent="0.4">
      <c r="B55" s="20" t="s">
        <v>74</v>
      </c>
      <c r="C55" s="91">
        <f>CONVERT(C54,"in","ft")</f>
        <v>25.666666666666668</v>
      </c>
      <c r="D55" s="91"/>
      <c r="E55" s="91"/>
    </row>
    <row r="56" spans="2:7" x14ac:dyDescent="0.4">
      <c r="B56" s="2" t="s">
        <v>75</v>
      </c>
      <c r="C56" s="89">
        <f>CONVERT(C54,"in","m")</f>
        <v>7.8231999999999999</v>
      </c>
      <c r="D56" s="89"/>
      <c r="E56" s="89"/>
    </row>
    <row r="60" spans="2:7" x14ac:dyDescent="0.4">
      <c r="B60" s="2" t="s">
        <v>78</v>
      </c>
      <c r="C60" s="72" t="s">
        <v>125</v>
      </c>
      <c r="D60" s="72"/>
      <c r="E60" s="72"/>
    </row>
    <row r="61" spans="2:7" x14ac:dyDescent="0.4">
      <c r="B61" s="2" t="s">
        <v>2</v>
      </c>
      <c r="C61" s="89">
        <v>45</v>
      </c>
      <c r="D61" s="89"/>
      <c r="E61" s="89"/>
    </row>
    <row r="62" spans="2:7" x14ac:dyDescent="0.4">
      <c r="B62" s="73" t="s">
        <v>80</v>
      </c>
      <c r="C62" s="4" t="s">
        <v>139</v>
      </c>
      <c r="D62" s="4" t="s">
        <v>19</v>
      </c>
      <c r="E62" s="4" t="s">
        <v>16</v>
      </c>
      <c r="G62" s="16"/>
    </row>
    <row r="63" spans="2:7" x14ac:dyDescent="0.4">
      <c r="B63" s="74"/>
      <c r="C63" s="11" t="s">
        <v>76</v>
      </c>
      <c r="D63" s="11" t="s">
        <v>18</v>
      </c>
      <c r="E63" s="11" t="s">
        <v>76</v>
      </c>
      <c r="G63" s="17"/>
    </row>
    <row r="64" spans="2:7" x14ac:dyDescent="0.4">
      <c r="B64" s="2" t="s">
        <v>77</v>
      </c>
      <c r="C64" s="3" t="s">
        <v>43</v>
      </c>
      <c r="D64" s="3" t="s">
        <v>43</v>
      </c>
      <c r="E64" s="3" t="s">
        <v>43</v>
      </c>
      <c r="G64" s="18"/>
    </row>
    <row r="65" spans="2:9" x14ac:dyDescent="0.4">
      <c r="B65" s="2" t="s">
        <v>79</v>
      </c>
      <c r="C65" s="3">
        <v>21.6</v>
      </c>
      <c r="D65" s="3">
        <v>27.6</v>
      </c>
      <c r="E65" s="3">
        <v>21.6</v>
      </c>
      <c r="G65" s="18"/>
    </row>
    <row r="66" spans="2:9" x14ac:dyDescent="0.4">
      <c r="B66" s="2" t="s">
        <v>1</v>
      </c>
      <c r="C66" s="3">
        <v>2</v>
      </c>
      <c r="D66" s="3">
        <v>1</v>
      </c>
      <c r="E66" s="3">
        <v>2</v>
      </c>
      <c r="G66" s="18"/>
    </row>
    <row r="67" spans="2:9" x14ac:dyDescent="0.4">
      <c r="B67" s="2" t="s">
        <v>81</v>
      </c>
      <c r="C67" s="3">
        <f>C66*C65</f>
        <v>43.2</v>
      </c>
      <c r="D67" s="3">
        <f>D66*D65</f>
        <v>27.6</v>
      </c>
      <c r="E67" s="3">
        <f>E66*E65</f>
        <v>43.2</v>
      </c>
      <c r="G67" s="18"/>
    </row>
    <row r="68" spans="2:9" x14ac:dyDescent="0.4">
      <c r="B68" s="2" t="s">
        <v>73</v>
      </c>
      <c r="C68" s="72">
        <f>SUM(C67:G67)+C61</f>
        <v>159</v>
      </c>
      <c r="D68" s="72"/>
      <c r="E68" s="72"/>
    </row>
    <row r="69" spans="2:9" x14ac:dyDescent="0.4">
      <c r="B69" s="20" t="s">
        <v>74</v>
      </c>
      <c r="C69" s="91">
        <f>CONVERT(C68,"in","ft")</f>
        <v>13.25</v>
      </c>
      <c r="D69" s="91"/>
      <c r="E69" s="91"/>
    </row>
    <row r="70" spans="2:9" x14ac:dyDescent="0.4">
      <c r="B70" s="2" t="s">
        <v>75</v>
      </c>
      <c r="C70" s="89">
        <f>CONVERT(C68,"in","m")</f>
        <v>4.0385999999999997</v>
      </c>
      <c r="D70" s="89"/>
      <c r="E70" s="89"/>
    </row>
    <row r="74" spans="2:9" x14ac:dyDescent="0.4">
      <c r="B74" s="2" t="s">
        <v>78</v>
      </c>
      <c r="C74" s="72" t="s">
        <v>83</v>
      </c>
      <c r="D74" s="72"/>
      <c r="E74" s="72"/>
    </row>
    <row r="75" spans="2:9" x14ac:dyDescent="0.4">
      <c r="B75" s="2" t="s">
        <v>2</v>
      </c>
      <c r="C75" s="89">
        <v>35</v>
      </c>
      <c r="D75" s="89"/>
      <c r="E75" s="89"/>
    </row>
    <row r="76" spans="2:9" x14ac:dyDescent="0.4">
      <c r="B76" s="73" t="s">
        <v>80</v>
      </c>
      <c r="C76" s="4" t="s">
        <v>132</v>
      </c>
      <c r="D76" s="4" t="s">
        <v>19</v>
      </c>
      <c r="E76" s="4" t="s">
        <v>129</v>
      </c>
      <c r="I76" s="8"/>
    </row>
    <row r="77" spans="2:9" x14ac:dyDescent="0.4">
      <c r="B77" s="74"/>
      <c r="C77" s="11" t="s">
        <v>76</v>
      </c>
      <c r="D77" s="11" t="s">
        <v>18</v>
      </c>
      <c r="E77" s="11" t="s">
        <v>76</v>
      </c>
    </row>
    <row r="78" spans="2:9" x14ac:dyDescent="0.4">
      <c r="B78" s="2" t="s">
        <v>77</v>
      </c>
      <c r="C78" s="3" t="s">
        <v>43</v>
      </c>
      <c r="D78" s="3" t="s">
        <v>43</v>
      </c>
      <c r="E78" s="3" t="s">
        <v>43</v>
      </c>
    </row>
    <row r="79" spans="2:9" x14ac:dyDescent="0.4">
      <c r="B79" s="2" t="s">
        <v>79</v>
      </c>
      <c r="C79" s="3">
        <v>21.6</v>
      </c>
      <c r="D79" s="3">
        <v>27.6</v>
      </c>
      <c r="E79" s="3">
        <v>21.6</v>
      </c>
    </row>
    <row r="80" spans="2:9" x14ac:dyDescent="0.4">
      <c r="B80" s="2" t="s">
        <v>1</v>
      </c>
      <c r="C80" s="3">
        <v>2</v>
      </c>
      <c r="D80" s="3">
        <v>1</v>
      </c>
      <c r="E80" s="3">
        <v>2</v>
      </c>
    </row>
    <row r="81" spans="1:10" x14ac:dyDescent="0.4">
      <c r="B81" s="2" t="s">
        <v>81</v>
      </c>
      <c r="C81" s="3">
        <f>C80*C79</f>
        <v>43.2</v>
      </c>
      <c r="D81" s="3">
        <f>D80*D79</f>
        <v>27.6</v>
      </c>
      <c r="E81" s="3">
        <f>E80*E79</f>
        <v>43.2</v>
      </c>
    </row>
    <row r="82" spans="1:10" x14ac:dyDescent="0.4">
      <c r="B82" s="2" t="s">
        <v>73</v>
      </c>
      <c r="C82" s="72">
        <f>SUM(C81:F81)+C75</f>
        <v>149</v>
      </c>
      <c r="D82" s="72"/>
      <c r="E82" s="72"/>
    </row>
    <row r="83" spans="1:10" x14ac:dyDescent="0.4">
      <c r="B83" s="20" t="s">
        <v>74</v>
      </c>
      <c r="C83" s="91">
        <f>CONVERT(C82,"in","ft")</f>
        <v>12.416666666666666</v>
      </c>
      <c r="D83" s="91"/>
      <c r="E83" s="91"/>
    </row>
    <row r="84" spans="1:10" x14ac:dyDescent="0.4">
      <c r="B84" s="2" t="s">
        <v>75</v>
      </c>
      <c r="C84" s="89">
        <f>CONVERT(C82,"in","m")</f>
        <v>3.7846000000000002</v>
      </c>
      <c r="D84" s="89"/>
      <c r="E84" s="89"/>
    </row>
    <row r="85" spans="1:10" x14ac:dyDescent="0.4">
      <c r="B85" s="14"/>
      <c r="C85" s="18"/>
      <c r="D85" s="18"/>
      <c r="E85" s="18"/>
    </row>
    <row r="86" spans="1:10" x14ac:dyDescent="0.4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spans="1:10" x14ac:dyDescent="0.4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spans="1:10" x14ac:dyDescent="0.4">
      <c r="A88" s="18"/>
      <c r="H88" s="18"/>
      <c r="I88" s="18"/>
      <c r="J88" s="18"/>
    </row>
    <row r="89" spans="1:10" x14ac:dyDescent="0.4">
      <c r="A89" s="18"/>
      <c r="H89" s="18"/>
      <c r="I89" s="18"/>
      <c r="J89" s="18"/>
    </row>
    <row r="90" spans="1:10" x14ac:dyDescent="0.4">
      <c r="A90" s="18"/>
      <c r="C90" s="2" t="s">
        <v>78</v>
      </c>
      <c r="D90" s="4" t="s">
        <v>20</v>
      </c>
      <c r="E90" s="16"/>
      <c r="F90" s="14"/>
      <c r="H90" s="18"/>
      <c r="I90" s="18"/>
      <c r="J90" s="18"/>
    </row>
    <row r="91" spans="1:10" x14ac:dyDescent="0.4">
      <c r="A91" s="18"/>
      <c r="C91" s="2" t="s">
        <v>2</v>
      </c>
      <c r="D91" s="3">
        <v>12</v>
      </c>
      <c r="I91" s="18"/>
      <c r="J91" s="18"/>
    </row>
    <row r="92" spans="1:10" x14ac:dyDescent="0.4">
      <c r="A92" s="18"/>
      <c r="C92" s="90" t="s">
        <v>80</v>
      </c>
      <c r="D92" s="4" t="s">
        <v>15</v>
      </c>
      <c r="E92" s="4" t="s">
        <v>117</v>
      </c>
      <c r="F92" s="4" t="s">
        <v>137</v>
      </c>
      <c r="I92" s="18"/>
      <c r="J92" s="18"/>
    </row>
    <row r="93" spans="1:10" x14ac:dyDescent="0.4">
      <c r="A93" s="18"/>
      <c r="C93" s="90"/>
      <c r="D93" s="11" t="s">
        <v>122</v>
      </c>
      <c r="E93" s="11" t="s">
        <v>118</v>
      </c>
      <c r="F93" s="11"/>
      <c r="I93" s="18"/>
      <c r="J93" s="18"/>
    </row>
    <row r="94" spans="1:10" x14ac:dyDescent="0.4">
      <c r="A94" s="18"/>
      <c r="C94" s="2" t="s">
        <v>77</v>
      </c>
      <c r="D94" s="37">
        <v>46150</v>
      </c>
      <c r="E94" s="11" t="s">
        <v>142</v>
      </c>
      <c r="F94" s="37">
        <v>46150</v>
      </c>
      <c r="I94" s="18"/>
      <c r="J94" s="18"/>
    </row>
    <row r="95" spans="1:10" x14ac:dyDescent="0.4">
      <c r="A95" s="18"/>
      <c r="C95" s="2" t="s">
        <v>79</v>
      </c>
      <c r="D95" s="3">
        <v>12</v>
      </c>
      <c r="E95" s="11">
        <v>8.4</v>
      </c>
      <c r="F95" s="11">
        <v>360</v>
      </c>
      <c r="I95" s="18"/>
      <c r="J95" s="18"/>
    </row>
    <row r="96" spans="1:10" x14ac:dyDescent="0.4">
      <c r="A96" s="18"/>
      <c r="C96" s="2" t="s">
        <v>1</v>
      </c>
      <c r="D96" s="3">
        <v>1</v>
      </c>
      <c r="E96" s="11">
        <v>1</v>
      </c>
      <c r="F96" s="11">
        <v>1</v>
      </c>
      <c r="I96" s="18"/>
      <c r="J96" s="18"/>
    </row>
    <row r="97" spans="1:13" x14ac:dyDescent="0.4">
      <c r="A97" s="18"/>
      <c r="C97" s="2" t="s">
        <v>81</v>
      </c>
      <c r="D97" s="3">
        <f>D96*D95</f>
        <v>12</v>
      </c>
      <c r="E97" s="3">
        <f>E96*E95</f>
        <v>8.4</v>
      </c>
      <c r="F97" s="3">
        <f>F96*F95</f>
        <v>360</v>
      </c>
      <c r="I97" s="18"/>
      <c r="J97" s="18"/>
    </row>
    <row r="98" spans="1:13" x14ac:dyDescent="0.4">
      <c r="A98" s="18"/>
      <c r="C98" s="2" t="s">
        <v>73</v>
      </c>
      <c r="D98" s="79">
        <f>SUM(D97:G97)+D91</f>
        <v>392.4</v>
      </c>
      <c r="E98" s="80"/>
      <c r="F98" s="81"/>
      <c r="H98" s="18"/>
      <c r="I98" s="18"/>
      <c r="J98" s="18"/>
      <c r="K98" s="18"/>
      <c r="L98" s="18"/>
      <c r="M98" s="18"/>
    </row>
    <row r="99" spans="1:13" x14ac:dyDescent="0.4">
      <c r="A99" s="18"/>
      <c r="C99" s="20" t="s">
        <v>74</v>
      </c>
      <c r="D99" s="91">
        <f>CONVERT(D98,"in","ft")</f>
        <v>32.700000000000003</v>
      </c>
      <c r="E99" s="91"/>
      <c r="F99" s="91"/>
      <c r="H99" s="18"/>
      <c r="I99" s="18"/>
      <c r="J99" s="18"/>
      <c r="K99" s="18"/>
      <c r="L99" s="18"/>
      <c r="M99" s="18"/>
    </row>
    <row r="100" spans="1:13" x14ac:dyDescent="0.4">
      <c r="A100" s="18"/>
      <c r="C100" s="2" t="s">
        <v>75</v>
      </c>
      <c r="D100" s="89">
        <f>CONVERT(D98,"in","m")</f>
        <v>9.9669600000000003</v>
      </c>
      <c r="E100" s="89"/>
      <c r="F100" s="89"/>
      <c r="H100" s="18"/>
      <c r="I100" s="18"/>
      <c r="J100" s="18"/>
      <c r="K100" s="18"/>
      <c r="L100" s="18"/>
      <c r="M100" s="18"/>
    </row>
    <row r="101" spans="1:13" x14ac:dyDescent="0.4">
      <c r="A101" s="18"/>
      <c r="H101" s="18"/>
      <c r="I101" s="18"/>
      <c r="J101" s="18"/>
      <c r="K101" s="18"/>
      <c r="L101" s="18"/>
      <c r="M101" s="18"/>
    </row>
    <row r="102" spans="1:13" x14ac:dyDescent="0.4">
      <c r="A102" s="18"/>
      <c r="H102" s="18"/>
      <c r="I102" s="18"/>
      <c r="J102" s="18"/>
      <c r="K102" s="18"/>
      <c r="L102" s="18"/>
      <c r="M102" s="18"/>
    </row>
    <row r="103" spans="1:13" x14ac:dyDescent="0.4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x14ac:dyDescent="0.4">
      <c r="A104" s="18"/>
      <c r="E104" s="16"/>
      <c r="J104" s="18"/>
      <c r="K104" s="18"/>
      <c r="L104" s="18"/>
      <c r="M104" s="18"/>
    </row>
    <row r="105" spans="1:13" x14ac:dyDescent="0.4">
      <c r="A105" s="18"/>
      <c r="C105" s="2" t="s">
        <v>78</v>
      </c>
      <c r="D105" s="2" t="s">
        <v>21</v>
      </c>
      <c r="E105" s="16"/>
      <c r="J105" s="18"/>
      <c r="K105" s="18"/>
      <c r="L105" s="18"/>
      <c r="M105" s="18"/>
    </row>
    <row r="106" spans="1:13" x14ac:dyDescent="0.4">
      <c r="A106" s="18"/>
      <c r="C106" s="2" t="s">
        <v>2</v>
      </c>
      <c r="D106" s="3">
        <v>14</v>
      </c>
      <c r="E106" s="16"/>
      <c r="J106" s="18"/>
      <c r="K106" s="18"/>
      <c r="L106" s="18"/>
      <c r="M106" s="18"/>
    </row>
    <row r="107" spans="1:13" x14ac:dyDescent="0.4">
      <c r="A107" s="18"/>
      <c r="C107" s="90" t="s">
        <v>80</v>
      </c>
      <c r="D107" s="4" t="s">
        <v>138</v>
      </c>
      <c r="E107" s="4" t="s">
        <v>117</v>
      </c>
      <c r="F107" s="4" t="s">
        <v>137</v>
      </c>
      <c r="J107" s="18"/>
      <c r="K107" s="18"/>
      <c r="L107" s="18"/>
      <c r="M107" s="18"/>
    </row>
    <row r="108" spans="1:13" x14ac:dyDescent="0.4">
      <c r="A108" s="18"/>
      <c r="C108" s="90"/>
      <c r="D108" s="11" t="s">
        <v>76</v>
      </c>
      <c r="E108" s="11" t="s">
        <v>118</v>
      </c>
      <c r="F108" s="11"/>
      <c r="J108" s="18"/>
      <c r="K108" s="18"/>
      <c r="L108" s="18"/>
      <c r="M108" s="18"/>
    </row>
    <row r="109" spans="1:13" x14ac:dyDescent="0.4">
      <c r="A109" s="18"/>
      <c r="C109" s="2" t="s">
        <v>77</v>
      </c>
      <c r="D109" s="37">
        <v>46150</v>
      </c>
      <c r="E109" s="11" t="s">
        <v>136</v>
      </c>
      <c r="F109" s="37">
        <v>46150</v>
      </c>
      <c r="J109" s="18"/>
      <c r="K109" s="18"/>
      <c r="L109" s="18"/>
      <c r="M109" s="18"/>
    </row>
    <row r="110" spans="1:13" x14ac:dyDescent="0.4">
      <c r="A110" s="18"/>
      <c r="C110" s="2" t="s">
        <v>79</v>
      </c>
      <c r="D110" s="3">
        <v>12</v>
      </c>
      <c r="E110" s="11">
        <v>8.4</v>
      </c>
      <c r="F110" s="11">
        <v>360</v>
      </c>
      <c r="J110" s="18"/>
      <c r="K110" s="18"/>
      <c r="L110" s="18"/>
      <c r="M110" s="18"/>
    </row>
    <row r="111" spans="1:13" x14ac:dyDescent="0.4">
      <c r="A111" s="18"/>
      <c r="C111" s="2" t="s">
        <v>1</v>
      </c>
      <c r="D111" s="3">
        <v>1</v>
      </c>
      <c r="E111" s="11">
        <v>1</v>
      </c>
      <c r="F111" s="11">
        <v>1</v>
      </c>
      <c r="J111" s="18"/>
      <c r="K111" s="18"/>
      <c r="L111" s="18"/>
      <c r="M111" s="18"/>
    </row>
    <row r="112" spans="1:13" x14ac:dyDescent="0.4">
      <c r="A112" s="18"/>
      <c r="C112" s="2" t="s">
        <v>81</v>
      </c>
      <c r="D112" s="3">
        <f>D111*D110</f>
        <v>12</v>
      </c>
      <c r="E112" s="11">
        <f>E111*E110</f>
        <v>8.4</v>
      </c>
      <c r="F112" s="11">
        <f>F111*F110</f>
        <v>360</v>
      </c>
      <c r="J112" s="18"/>
      <c r="K112" s="18"/>
      <c r="L112" s="18"/>
      <c r="M112" s="18"/>
    </row>
    <row r="113" spans="1:13" x14ac:dyDescent="0.4">
      <c r="A113" s="18"/>
      <c r="C113" s="2" t="s">
        <v>73</v>
      </c>
      <c r="D113" s="79">
        <f>SUM(D112:I112)+D106</f>
        <v>394.4</v>
      </c>
      <c r="E113" s="80"/>
      <c r="F113" s="81"/>
      <c r="I113" s="18"/>
      <c r="J113" s="18"/>
      <c r="K113" s="18"/>
      <c r="L113" s="18"/>
      <c r="M113" s="18"/>
    </row>
    <row r="114" spans="1:13" x14ac:dyDescent="0.4">
      <c r="A114" s="18"/>
      <c r="C114" s="20" t="s">
        <v>74</v>
      </c>
      <c r="D114" s="91">
        <f>CONVERT(D113,"in","ft")</f>
        <v>32.866666666666667</v>
      </c>
      <c r="E114" s="91"/>
      <c r="F114" s="91"/>
      <c r="I114" s="18"/>
      <c r="J114" s="18"/>
      <c r="K114" s="18"/>
      <c r="L114" s="18"/>
      <c r="M114" s="18"/>
    </row>
    <row r="115" spans="1:13" x14ac:dyDescent="0.4">
      <c r="A115" s="18"/>
      <c r="C115" s="2" t="s">
        <v>75</v>
      </c>
      <c r="D115" s="89">
        <f>CONVERT(D113,"in","m")</f>
        <v>10.017760000000001</v>
      </c>
      <c r="E115" s="89"/>
      <c r="F115" s="89"/>
      <c r="I115" s="18"/>
      <c r="J115" s="18"/>
      <c r="K115" s="18"/>
      <c r="L115" s="18"/>
      <c r="M115" s="18"/>
    </row>
    <row r="116" spans="1:13" x14ac:dyDescent="0.4">
      <c r="A116" s="18"/>
      <c r="I116" s="18"/>
      <c r="J116" s="18"/>
      <c r="K116" s="18"/>
      <c r="L116" s="18"/>
      <c r="M116" s="18"/>
    </row>
    <row r="117" spans="1:13" x14ac:dyDescent="0.4">
      <c r="A117" s="18"/>
      <c r="I117" s="18"/>
      <c r="J117" s="18"/>
      <c r="K117" s="18"/>
      <c r="L117" s="18"/>
      <c r="M117" s="18"/>
    </row>
    <row r="118" spans="1:13" x14ac:dyDescent="0.4">
      <c r="A118" s="18"/>
      <c r="I118" s="18"/>
      <c r="J118" s="18"/>
      <c r="K118" s="18"/>
      <c r="L118" s="18"/>
      <c r="M118" s="18"/>
    </row>
    <row r="119" spans="1:13" x14ac:dyDescent="0.4">
      <c r="A119" s="18"/>
      <c r="I119" s="18"/>
      <c r="J119" s="18"/>
      <c r="K119" s="18"/>
      <c r="L119" s="18"/>
      <c r="M119" s="18"/>
    </row>
    <row r="120" spans="1:13" x14ac:dyDescent="0.4">
      <c r="A120" s="18"/>
      <c r="B120" s="18"/>
      <c r="C120" s="18"/>
      <c r="D120" s="18"/>
      <c r="E120" s="18"/>
      <c r="F120" s="18"/>
      <c r="G120" s="18"/>
      <c r="I120" s="18"/>
      <c r="J120" s="18"/>
      <c r="K120" s="18"/>
      <c r="L120" s="18"/>
      <c r="M120" s="18"/>
    </row>
    <row r="121" spans="1:13" x14ac:dyDescent="0.4">
      <c r="A121" s="18"/>
      <c r="B121" s="2" t="s">
        <v>78</v>
      </c>
      <c r="C121" s="72" t="s">
        <v>127</v>
      </c>
      <c r="D121" s="72"/>
      <c r="E121" s="72"/>
      <c r="F121" s="3"/>
      <c r="G121" s="3"/>
      <c r="I121" s="18"/>
      <c r="J121" s="18"/>
      <c r="K121" s="18"/>
      <c r="L121" s="18"/>
      <c r="M121" s="18"/>
    </row>
    <row r="122" spans="1:13" x14ac:dyDescent="0.4">
      <c r="A122" s="18"/>
      <c r="B122" s="2" t="s">
        <v>2</v>
      </c>
      <c r="C122" s="89">
        <v>52</v>
      </c>
      <c r="D122" s="89"/>
      <c r="E122" s="89"/>
      <c r="F122" s="3"/>
      <c r="G122" s="3"/>
      <c r="I122" s="18"/>
      <c r="J122" s="18"/>
      <c r="K122" s="18"/>
      <c r="L122" s="18"/>
      <c r="M122" s="18"/>
    </row>
    <row r="123" spans="1:13" x14ac:dyDescent="0.4">
      <c r="B123" s="73" t="s">
        <v>80</v>
      </c>
      <c r="C123" s="4" t="s">
        <v>15</v>
      </c>
      <c r="D123" s="4" t="s">
        <v>131</v>
      </c>
      <c r="E123" s="4" t="s">
        <v>129</v>
      </c>
      <c r="F123" s="4" t="s">
        <v>128</v>
      </c>
      <c r="G123" s="4" t="s">
        <v>130</v>
      </c>
      <c r="M123" s="18"/>
    </row>
    <row r="124" spans="1:13" x14ac:dyDescent="0.4">
      <c r="B124" s="74"/>
      <c r="C124" s="11" t="s">
        <v>76</v>
      </c>
      <c r="D124" s="3"/>
      <c r="E124" s="11" t="s">
        <v>76</v>
      </c>
      <c r="F124" s="3" t="s">
        <v>76</v>
      </c>
      <c r="G124" s="3"/>
      <c r="M124" s="18"/>
    </row>
    <row r="125" spans="1:13" x14ac:dyDescent="0.4">
      <c r="B125" s="2" t="s">
        <v>77</v>
      </c>
      <c r="C125" s="3" t="s">
        <v>42</v>
      </c>
      <c r="D125" s="3" t="s">
        <v>42</v>
      </c>
      <c r="E125" s="3" t="s">
        <v>42</v>
      </c>
      <c r="F125" s="3" t="s">
        <v>43</v>
      </c>
      <c r="G125" s="3" t="s">
        <v>42</v>
      </c>
      <c r="M125" s="18"/>
    </row>
    <row r="126" spans="1:13" x14ac:dyDescent="0.4">
      <c r="B126" s="2" t="s">
        <v>79</v>
      </c>
      <c r="C126" s="3">
        <v>18</v>
      </c>
      <c r="D126" s="3">
        <v>21</v>
      </c>
      <c r="E126" s="3">
        <v>18</v>
      </c>
      <c r="F126" s="3">
        <v>21.6</v>
      </c>
      <c r="G126" s="3">
        <v>10.8</v>
      </c>
      <c r="M126" s="18"/>
    </row>
    <row r="127" spans="1:13" x14ac:dyDescent="0.4">
      <c r="B127" s="2" t="s">
        <v>1</v>
      </c>
      <c r="C127" s="3">
        <v>2</v>
      </c>
      <c r="D127" s="3">
        <v>1</v>
      </c>
      <c r="E127" s="3">
        <v>5</v>
      </c>
      <c r="F127" s="3">
        <v>1</v>
      </c>
      <c r="G127" s="3">
        <v>1</v>
      </c>
      <c r="M127" s="18"/>
    </row>
    <row r="128" spans="1:13" x14ac:dyDescent="0.4">
      <c r="B128" s="2" t="s">
        <v>81</v>
      </c>
      <c r="C128" s="3">
        <f>C127*C126</f>
        <v>36</v>
      </c>
      <c r="D128" s="3">
        <f>D127*D126</f>
        <v>21</v>
      </c>
      <c r="E128" s="3">
        <f>E127*E126</f>
        <v>90</v>
      </c>
      <c r="F128" s="3">
        <f>F127*F126</f>
        <v>21.6</v>
      </c>
      <c r="G128" s="3">
        <f>G127*G126</f>
        <v>10.8</v>
      </c>
    </row>
    <row r="129" spans="1:9" x14ac:dyDescent="0.4">
      <c r="B129" s="2" t="s">
        <v>73</v>
      </c>
      <c r="C129" s="72">
        <f>SUM(C128:G128)+C122</f>
        <v>231.4</v>
      </c>
      <c r="D129" s="72"/>
      <c r="E129" s="72"/>
      <c r="F129" s="3"/>
      <c r="G129" s="3"/>
    </row>
    <row r="130" spans="1:9" x14ac:dyDescent="0.4">
      <c r="B130" s="20" t="s">
        <v>74</v>
      </c>
      <c r="C130" s="91">
        <f>CONVERT(C129,"in","ft")</f>
        <v>19.283333333333335</v>
      </c>
      <c r="D130" s="91"/>
      <c r="E130" s="91"/>
      <c r="F130" s="3"/>
      <c r="G130" s="3"/>
    </row>
    <row r="131" spans="1:9" x14ac:dyDescent="0.4">
      <c r="B131" s="2" t="s">
        <v>75</v>
      </c>
      <c r="C131" s="89">
        <f>CONVERT(C129,"in","m")</f>
        <v>5.8775599999999999</v>
      </c>
      <c r="D131" s="89"/>
      <c r="E131" s="89"/>
      <c r="F131" s="3"/>
      <c r="G131" s="3"/>
    </row>
    <row r="136" spans="1:9" x14ac:dyDescent="0.4">
      <c r="A136" s="18"/>
      <c r="B136" s="18"/>
      <c r="C136" s="18"/>
      <c r="D136" s="18"/>
      <c r="E136" s="18"/>
      <c r="F136" s="18"/>
      <c r="G136" s="18"/>
      <c r="H136" s="18"/>
      <c r="I136" s="18"/>
    </row>
    <row r="137" spans="1:9" x14ac:dyDescent="0.4">
      <c r="A137" s="18"/>
      <c r="B137" s="2" t="s">
        <v>78</v>
      </c>
      <c r="C137" s="72" t="s">
        <v>134</v>
      </c>
      <c r="D137" s="72"/>
      <c r="E137" s="72"/>
      <c r="F137" s="3"/>
      <c r="G137" s="3"/>
      <c r="H137" s="3"/>
      <c r="I137" s="17"/>
    </row>
    <row r="138" spans="1:9" x14ac:dyDescent="0.4">
      <c r="A138" s="18"/>
      <c r="B138" s="2" t="s">
        <v>2</v>
      </c>
      <c r="C138" s="89">
        <v>87</v>
      </c>
      <c r="D138" s="89"/>
      <c r="E138" s="89"/>
      <c r="F138" s="3"/>
      <c r="G138" s="3"/>
      <c r="H138" s="3"/>
    </row>
    <row r="139" spans="1:9" x14ac:dyDescent="0.4">
      <c r="B139" s="73" t="s">
        <v>80</v>
      </c>
      <c r="C139" s="4" t="s">
        <v>15</v>
      </c>
      <c r="D139" s="4" t="s">
        <v>131</v>
      </c>
      <c r="E139" s="4" t="s">
        <v>129</v>
      </c>
      <c r="F139" s="4" t="s">
        <v>128</v>
      </c>
      <c r="G139" s="4" t="s">
        <v>130</v>
      </c>
      <c r="H139" s="4" t="s">
        <v>117</v>
      </c>
    </row>
    <row r="140" spans="1:9" x14ac:dyDescent="0.4">
      <c r="B140" s="74"/>
      <c r="C140" s="11" t="s">
        <v>76</v>
      </c>
      <c r="D140" s="3"/>
      <c r="E140" s="11" t="s">
        <v>76</v>
      </c>
      <c r="F140" s="3" t="s">
        <v>76</v>
      </c>
      <c r="G140" s="3"/>
      <c r="H140" s="11" t="s">
        <v>118</v>
      </c>
    </row>
    <row r="141" spans="1:9" x14ac:dyDescent="0.4">
      <c r="B141" s="2" t="s">
        <v>77</v>
      </c>
      <c r="C141" s="3" t="s">
        <v>42</v>
      </c>
      <c r="D141" s="3" t="s">
        <v>42</v>
      </c>
      <c r="E141" s="3" t="s">
        <v>42</v>
      </c>
      <c r="F141" s="3" t="s">
        <v>43</v>
      </c>
      <c r="G141" s="3" t="s">
        <v>42</v>
      </c>
      <c r="H141" s="3" t="s">
        <v>135</v>
      </c>
    </row>
    <row r="142" spans="1:9" x14ac:dyDescent="0.4">
      <c r="B142" s="2" t="s">
        <v>79</v>
      </c>
      <c r="C142" s="3">
        <v>18</v>
      </c>
      <c r="D142" s="3">
        <v>21</v>
      </c>
      <c r="E142" s="3">
        <v>18</v>
      </c>
      <c r="F142" s="3">
        <v>21.6</v>
      </c>
      <c r="G142" s="3">
        <v>10.8</v>
      </c>
      <c r="H142" s="11">
        <v>19.2</v>
      </c>
    </row>
    <row r="143" spans="1:9" x14ac:dyDescent="0.4">
      <c r="B143" s="2" t="s">
        <v>1</v>
      </c>
      <c r="C143" s="3">
        <v>1</v>
      </c>
      <c r="D143" s="3">
        <v>1</v>
      </c>
      <c r="E143" s="3">
        <v>3</v>
      </c>
      <c r="F143" s="3">
        <v>1</v>
      </c>
      <c r="G143" s="3">
        <v>1</v>
      </c>
      <c r="H143" s="11">
        <v>1</v>
      </c>
    </row>
    <row r="144" spans="1:9" x14ac:dyDescent="0.4">
      <c r="B144" s="2" t="s">
        <v>81</v>
      </c>
      <c r="C144" s="3">
        <f>C143*C142</f>
        <v>18</v>
      </c>
      <c r="D144" s="3">
        <v>1</v>
      </c>
      <c r="E144" s="3">
        <f>E143*E142</f>
        <v>54</v>
      </c>
      <c r="F144" s="3">
        <f>F143*F142</f>
        <v>21.6</v>
      </c>
      <c r="G144" s="3">
        <f>G143*G142</f>
        <v>10.8</v>
      </c>
      <c r="H144" s="11">
        <v>19.2</v>
      </c>
    </row>
    <row r="145" spans="2:8" x14ac:dyDescent="0.4">
      <c r="B145" s="2" t="s">
        <v>73</v>
      </c>
      <c r="C145" s="79">
        <f>SUM(C144:H144)+C138</f>
        <v>211.6</v>
      </c>
      <c r="D145" s="80"/>
      <c r="E145" s="81"/>
      <c r="F145" s="3"/>
      <c r="G145" s="3"/>
      <c r="H145" s="3"/>
    </row>
    <row r="146" spans="2:8" x14ac:dyDescent="0.4">
      <c r="B146" s="20" t="s">
        <v>74</v>
      </c>
      <c r="C146" s="91">
        <f>CONVERT(C145,"in","ft")</f>
        <v>17.633333333333333</v>
      </c>
      <c r="D146" s="91"/>
      <c r="E146" s="91"/>
      <c r="F146" s="3"/>
      <c r="G146" s="3"/>
      <c r="H146" s="3"/>
    </row>
    <row r="147" spans="2:8" x14ac:dyDescent="0.4">
      <c r="B147" s="2" t="s">
        <v>75</v>
      </c>
      <c r="C147" s="89">
        <f>CONVERT(C145,"in","m")</f>
        <v>5.3746400000000003</v>
      </c>
      <c r="D147" s="89"/>
      <c r="E147" s="89"/>
      <c r="F147" s="3"/>
      <c r="G147" s="3"/>
      <c r="H147" s="3"/>
    </row>
  </sheetData>
  <mergeCells count="66">
    <mergeCell ref="C147:E147"/>
    <mergeCell ref="C44:F44"/>
    <mergeCell ref="C137:E137"/>
    <mergeCell ref="C138:E138"/>
    <mergeCell ref="B139:B140"/>
    <mergeCell ref="C145:E145"/>
    <mergeCell ref="C146:E146"/>
    <mergeCell ref="C129:E129"/>
    <mergeCell ref="C130:E130"/>
    <mergeCell ref="C131:E131"/>
    <mergeCell ref="C121:E121"/>
    <mergeCell ref="C122:E122"/>
    <mergeCell ref="B123:B124"/>
    <mergeCell ref="C60:E60"/>
    <mergeCell ref="C61:E61"/>
    <mergeCell ref="B76:B77"/>
    <mergeCell ref="B36:B37"/>
    <mergeCell ref="C40:E40"/>
    <mergeCell ref="C41:E41"/>
    <mergeCell ref="B48:B49"/>
    <mergeCell ref="C56:E56"/>
    <mergeCell ref="C37:E37"/>
    <mergeCell ref="C38:E38"/>
    <mergeCell ref="C39:E39"/>
    <mergeCell ref="C46:H46"/>
    <mergeCell ref="C42:F42"/>
    <mergeCell ref="C43:F43"/>
    <mergeCell ref="B62:B63"/>
    <mergeCell ref="C68:E68"/>
    <mergeCell ref="C54:E54"/>
    <mergeCell ref="C55:E55"/>
    <mergeCell ref="D114:F114"/>
    <mergeCell ref="C82:E82"/>
    <mergeCell ref="C83:E83"/>
    <mergeCell ref="C74:E74"/>
    <mergeCell ref="C75:E75"/>
    <mergeCell ref="C84:E84"/>
    <mergeCell ref="C69:E69"/>
    <mergeCell ref="C70:E70"/>
    <mergeCell ref="D115:F115"/>
    <mergeCell ref="C92:C93"/>
    <mergeCell ref="D98:F98"/>
    <mergeCell ref="D99:F99"/>
    <mergeCell ref="D100:F100"/>
    <mergeCell ref="C107:C108"/>
    <mergeCell ref="D113:F113"/>
    <mergeCell ref="C26:E26"/>
    <mergeCell ref="C27:E27"/>
    <mergeCell ref="C28:E28"/>
    <mergeCell ref="C35:E35"/>
    <mergeCell ref="C36:E36"/>
    <mergeCell ref="C34:F34"/>
    <mergeCell ref="C29:H29"/>
    <mergeCell ref="C30:H30"/>
    <mergeCell ref="C31:H31"/>
    <mergeCell ref="C8:G8"/>
    <mergeCell ref="B10:B11"/>
    <mergeCell ref="C25:E25"/>
    <mergeCell ref="B23:B24"/>
    <mergeCell ref="C17:F17"/>
    <mergeCell ref="C16:F16"/>
    <mergeCell ref="C18:F18"/>
    <mergeCell ref="C21:H21"/>
    <mergeCell ref="C22:H22"/>
    <mergeCell ref="C23:E23"/>
    <mergeCell ref="C24:E24"/>
  </mergeCells>
  <phoneticPr fontId="3" type="noConversion"/>
  <dataValidations count="1">
    <dataValidation type="list" allowBlank="1" showInputMessage="1" showErrorMessage="1" sqref="C136:G136 C25:E25 I136 C38:E38 I120 G64 I106 C120:G120 F50:G50" xr:uid="{55276939-B1DE-4264-A684-2BC97101071F}">
      <formula1>#REF!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5B9C5-EFA5-4067-8D8C-C617A8B89759}">
          <x14:formula1>
            <xm:f>'Source Data'!$A$7:$A$21</xm:f>
          </x14:formula1>
          <xm:sqref>J52 F25 C12:D12 C125:H125 C50:E50 C141:I141 C78:E78 C64:E64 F12:H12 H25 F38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7E018DAC5FC6419FBF554675B38F6E" ma:contentTypeVersion="19" ma:contentTypeDescription="Create a new document." ma:contentTypeScope="" ma:versionID="855cc7a8077863110198d7c4d1ef062c">
  <xsd:schema xmlns:xsd="http://www.w3.org/2001/XMLSchema" xmlns:xs="http://www.w3.org/2001/XMLSchema" xmlns:p="http://schemas.microsoft.com/office/2006/metadata/properties" xmlns:ns2="7c117576-90ba-4342-b21d-623a13e8a6c7" xmlns:ns3="339d1fa9-ce75-4d56-aa15-5f9eeee07757" targetNamespace="http://schemas.microsoft.com/office/2006/metadata/properties" ma:root="true" ma:fieldsID="571815754eed392c44ede7575a3a4f5d" ns2:_="" ns3:_="">
    <xsd:import namespace="7c117576-90ba-4342-b21d-623a13e8a6c7"/>
    <xsd:import namespace="339d1fa9-ce75-4d56-aa15-5f9eeee077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BillingMetadata" minOccurs="0"/>
                <xsd:element ref="ns2:Date" minOccurs="0"/>
                <xsd:element ref="ns2:DateModified" minOccurs="0"/>
                <xsd:element ref="ns2:Fil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17576-90ba-4342-b21d-623a13e8a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f95ae3b-be4b-4209-8163-62b5fcaac8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4" nillable="true" ma:displayName="Date" ma:format="DateOnly" ma:internalName="Date">
      <xsd:simpleType>
        <xsd:restriction base="dms:DateTime"/>
      </xsd:simpleType>
    </xsd:element>
    <xsd:element name="DateModified" ma:index="25" nillable="true" ma:displayName="Date Modified" ma:format="DateOnly" ma:internalName="DateModified">
      <xsd:simpleType>
        <xsd:restriction base="dms:DateTime"/>
      </xsd:simpleType>
    </xsd:element>
    <xsd:element name="FileName" ma:index="26" nillable="true" ma:displayName="File Name" ma:format="Dropdown" ma:internalName="Fil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d1fa9-ce75-4d56-aa15-5f9eeee0775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9d1791b-ed15-4b1b-badc-33fa0b6c7d43}" ma:internalName="TaxCatchAll" ma:showField="CatchAllData" ma:web="339d1fa9-ce75-4d56-aa15-5f9eeee077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117576-90ba-4342-b21d-623a13e8a6c7">
      <Terms xmlns="http://schemas.microsoft.com/office/infopath/2007/PartnerControls"/>
    </lcf76f155ced4ddcb4097134ff3c332f>
    <TaxCatchAll xmlns="339d1fa9-ce75-4d56-aa15-5f9eeee07757" xsi:nil="true"/>
    <FileName xmlns="7c117576-90ba-4342-b21d-623a13e8a6c7" xsi:nil="true"/>
    <DateModified xmlns="7c117576-90ba-4342-b21d-623a13e8a6c7" xsi:nil="true"/>
    <Date xmlns="7c117576-90ba-4342-b21d-623a13e8a6c7" xsi:nil="true"/>
  </documentManagement>
</p:properties>
</file>

<file path=customXml/itemProps1.xml><?xml version="1.0" encoding="utf-8"?>
<ds:datastoreItem xmlns:ds="http://schemas.openxmlformats.org/officeDocument/2006/customXml" ds:itemID="{2A76B23D-70C0-40F3-80A5-5986EACD72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055398-2C1F-4921-9EF2-A4A30E594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117576-90ba-4342-b21d-623a13e8a6c7"/>
    <ds:schemaRef ds:uri="339d1fa9-ce75-4d56-aa15-5f9eeee077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1999E9-77A3-416A-BFDA-818ED502CA44}">
  <ds:schemaRefs>
    <ds:schemaRef ds:uri="http://schemas.microsoft.com/office/2006/metadata/properties"/>
    <ds:schemaRef ds:uri="http://schemas.microsoft.com/office/infopath/2007/PartnerControls"/>
    <ds:schemaRef ds:uri="52b1ef3c-7e59-42d5-a4ad-5e0403348cf0"/>
    <ds:schemaRef ds:uri="ac61e096-f369-4921-a53f-1b7bebecb997"/>
    <ds:schemaRef ds:uri="5ac28e55-e35e-451e-aade-deb70f94f5ff"/>
    <ds:schemaRef ds:uri="79e8f2a0-4660-437c-a681-9f149b653056"/>
    <ds:schemaRef ds:uri="7c117576-90ba-4342-b21d-623a13e8a6c7"/>
    <ds:schemaRef ds:uri="339d1fa9-ce75-4d56-aa15-5f9eeee077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Equivalent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Chakravarthy</dc:creator>
  <cp:lastModifiedBy>Sanjeev Kumaraswamy</cp:lastModifiedBy>
  <dcterms:created xsi:type="dcterms:W3CDTF">2025-10-09T13:07:12Z</dcterms:created>
  <dcterms:modified xsi:type="dcterms:W3CDTF">2026-09-13T03:59:55Z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0x0101002C7E018DAC5FC6419FBF554675B38F6E</vt:lpwstr>
  </property>
  <property fmtid="{D5CDD505-2E9C-101B-9397-08002B2CF9AE}" pid="3" name="MediaServiceImageTags">
    <vt:lpwstr/>
  </property>
</Properties>
</file>